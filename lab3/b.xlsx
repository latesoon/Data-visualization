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060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Sheet2!$A$1:$K$98</definedName>
  </definedNames>
  <calcPr calcId="144525"/>
</workbook>
</file>

<file path=xl/sharedStrings.xml><?xml version="1.0" encoding="utf-8"?>
<sst xmlns="http://schemas.openxmlformats.org/spreadsheetml/2006/main" count="308" uniqueCount="227">
  <si>
    <t>日期</t>
  </si>
  <si>
    <t>视频数量</t>
  </si>
  <si>
    <t>粉丝数量</t>
  </si>
  <si>
    <t>充电数量</t>
  </si>
  <si>
    <t>播放增量</t>
  </si>
  <si>
    <t>获赞增量</t>
  </si>
  <si>
    <t>分享增量</t>
  </si>
  <si>
    <t>收藏增量</t>
  </si>
  <si>
    <t>投币增量</t>
  </si>
  <si>
    <t>评论增量</t>
  </si>
  <si>
    <t>弹幕增量</t>
  </si>
  <si>
    <t>综合热度指数</t>
  </si>
  <si>
    <t>粉丝增量</t>
  </si>
  <si>
    <t>序号</t>
  </si>
  <si>
    <t>视频标题</t>
  </si>
  <si>
    <t>一级分类</t>
  </si>
  <si>
    <t>视频发布日期</t>
  </si>
  <si>
    <t>播放数</t>
  </si>
  <si>
    <t>弹幕数</t>
  </si>
  <si>
    <t>点赞数</t>
  </si>
  <si>
    <t>收藏数</t>
  </si>
  <si>
    <t>评论数</t>
  </si>
  <si>
    <t>分享数</t>
  </si>
  <si>
    <t>投币数</t>
  </si>
  <si>
    <t>【南开大学官方coincidance抖肩舞】要素溢出，彩蛋丰富，神曲乱入，特别出演，你币没了</t>
  </si>
  <si>
    <t>生活</t>
  </si>
  <si>
    <t>2019-11-21 19:17</t>
  </si>
  <si>
    <t>《车 夫 的 爱》</t>
  </si>
  <si>
    <t>2023-04-18 18:47</t>
  </si>
  <si>
    <t>不愧是天津的高校，《权御天下》还能加快板！</t>
  </si>
  <si>
    <t>音乐</t>
  </si>
  <si>
    <t>2023-03-21 17:24</t>
  </si>
  <si>
    <t>【南开大学×欣小萌×逍遥散人】MISS THE SPRING——致我们在南开园的春天</t>
  </si>
  <si>
    <t>知识</t>
  </si>
  <si>
    <t>2021-03-29 17:48</t>
  </si>
  <si>
    <t>南开大学十大歌手决赛-全济熙（韩）-《给你看》</t>
  </si>
  <si>
    <t>2023-03-25 22:20</t>
  </si>
  <si>
    <t>欢迎报考不在南方的开心大学｜南开大学招生宣传B站特典</t>
  </si>
  <si>
    <t>2020-07-22 12:00</t>
  </si>
  <si>
    <t>“听说大家想看正经的招生简章?”｜ 南开大学2022招生首发</t>
  </si>
  <si>
    <t>2022-06-16 12:00</t>
  </si>
  <si>
    <t>【南开大学十大歌手半决赛】当事人表示成功止步半决赛，终于不用攒新活了</t>
  </si>
  <si>
    <t>2022-11-27 01:05</t>
  </si>
  <si>
    <t>五四重磅推出！全体南开人深情唱响《歌唱祖国》</t>
  </si>
  <si>
    <t>2019-05-04 08:00</t>
  </si>
  <si>
    <t>我在南开大学军训了！</t>
  </si>
  <si>
    <t>2019-09-14 15:12</t>
  </si>
  <si>
    <t>数学大师陈省身先生是多么的可爱</t>
  </si>
  <si>
    <t>2021-12-03 19:41</t>
  </si>
  <si>
    <t>【南小开Vlog】早安！医学打工人！大学临床医学生的一天</t>
  </si>
  <si>
    <t>2020-10-31 10:56</t>
  </si>
  <si>
    <t>南开的夏天</t>
  </si>
  <si>
    <t>2021-06-25 12:24</t>
  </si>
  <si>
    <t>【遇见南开】——南开大学2019年招生宣传片</t>
  </si>
  <si>
    <t>2019-06-18 22:59</t>
  </si>
  <si>
    <t>南开女子生活图鉴</t>
  </si>
  <si>
    <t>2021-03-08 11:43</t>
  </si>
  <si>
    <t>【南 开 魔 法 学 院】听说有人想去魔法学院上学？</t>
  </si>
  <si>
    <t>2021-10-11 22:32</t>
  </si>
  <si>
    <t>【零元购】但是在南开大学图书馆！丨Ngana Rindu</t>
  </si>
  <si>
    <t>2021-11-17 12:50</t>
  </si>
  <si>
    <t>【南开大学×Fashion街舞社】时代少年团-朱雀 如火光般闪耀未来 不看后悔系列</t>
  </si>
  <si>
    <t>舞蹈</t>
  </si>
  <si>
    <t>2022-04-17 10:19</t>
  </si>
  <si>
    <t>南开大学2022年毕业晚会</t>
  </si>
  <si>
    <t>2022-06-21 13:05</t>
  </si>
  <si>
    <t>看得最远的地方 | 毕业快乐~</t>
  </si>
  <si>
    <t>2022-06-22 18:20</t>
  </si>
  <si>
    <t>没抢到票的同学不用跺脚，十大歌手决赛完整视频来啦！</t>
  </si>
  <si>
    <t>2023-03-26 11:41</t>
  </si>
  <si>
    <t>南开大学2021Cypher！南开厂牌炬变说唱年度Cypher震撼来袭！这百变的flow你给我来学习~</t>
  </si>
  <si>
    <t>2022-01-23 11:30</t>
  </si>
  <si>
    <t>【4K超清】从日出到星海，用镜头记录问天实验舱出征</t>
  </si>
  <si>
    <t>2022-07-25 10:53</t>
  </si>
  <si>
    <t>【南开大学×南风动漫社】🌈彩虹节拍🌈南开人春天的第一支舞蹈！</t>
  </si>
  <si>
    <t>2021-03-18 20:03</t>
  </si>
  <si>
    <t>【Minecraft】这个大一新生用《我的世界》还原了南开大学！</t>
  </si>
  <si>
    <t>游戏</t>
  </si>
  <si>
    <t>2019-11-20 14:14</t>
  </si>
  <si>
    <t>【Minecraft】与你共赏南开晴雨之变——我的云南开</t>
  </si>
  <si>
    <t>2020-08-06 23:39</t>
  </si>
  <si>
    <t>【校庆Vlog】小姐姐带你游遍南开百年校庆</t>
  </si>
  <si>
    <t>2019-10-23 19:33</t>
  </si>
  <si>
    <t>【跟叶先生说句话】叶嘉莹文学纪录片《掬水月在手》诗词诵读暨电影鉴赏会</t>
  </si>
  <si>
    <t>2020-10-23 09:37</t>
  </si>
  <si>
    <t>【南开懂都懂】校园街访：考南开需要多少分？学霸也考过倒数？</t>
  </si>
  <si>
    <t>2021-04-13 11:38</t>
  </si>
  <si>
    <t>【南开懂都懂 · 第四期】校园街访：宿舍那些事，这都是可以说的吗？</t>
  </si>
  <si>
    <t>2022-06-11 11:28</t>
  </si>
  <si>
    <t>南开强基大揭秘！首届强基生的亲身体验！</t>
  </si>
  <si>
    <t>2021-04-09 22:38</t>
  </si>
  <si>
    <t>ChatGPT眼中的南开大学</t>
  </si>
  <si>
    <t>2023-03-14 11:45</t>
  </si>
  <si>
    <t>我们在南开等你！高考倒计时一百天加油！</t>
  </si>
  <si>
    <t>2023-02-27 15:36</t>
  </si>
  <si>
    <t>发现南开——南开大学延时摄影</t>
  </si>
  <si>
    <t>2017-10-10 11:30</t>
  </si>
  <si>
    <t>【南开大学第二届集体婚礼混剪】缘定南开，百年好合</t>
  </si>
  <si>
    <t>2019-10-15 22:23</t>
  </si>
  <si>
    <t>《渔光曲》绝美翻跳 | 海冰楼版</t>
  </si>
  <si>
    <t>2022-06-20 12:20</t>
  </si>
  <si>
    <t>现场原声！南开大学九·一八升旗仪式</t>
  </si>
  <si>
    <t>2022-09-22 19:42</t>
  </si>
  <si>
    <t>【南开大学×冰火舞蹈团】《渔光曲》绝美翻跳</t>
  </si>
  <si>
    <t>2022-05-15 21:25</t>
  </si>
  <si>
    <t>这么多人今天来南开，为啥？</t>
  </si>
  <si>
    <t>2019-06-24 19:19</t>
  </si>
  <si>
    <t>唱支Rap给党听！南开学子献礼建党百年原创歌曲《青莲紫 石榴籽》MV重磅发布！</t>
  </si>
  <si>
    <t>2021-07-01 17:54</t>
  </si>
  <si>
    <t>【南小开Vlog】小姐姐带你探店爱南开的天塔铺子</t>
  </si>
  <si>
    <t>2020-10-14 18:10</t>
  </si>
  <si>
    <t>【开学季存档】丨南开大学迎新采访特辑丨你还记得开学第一天的心情吗？高考完的暑假做了什么？学长学姐说？</t>
  </si>
  <si>
    <t>2022-10-10 12:30</t>
  </si>
  <si>
    <t>【南开大学×南风动漫社】花月成双 | 小年·国风·宅舞·花香邀月正成双</t>
  </si>
  <si>
    <t>2022-01-25 12:25</t>
  </si>
  <si>
    <t>【南开拟人历史向手书】巍巍南开，百年芳华</t>
  </si>
  <si>
    <t>动画</t>
  </si>
  <si>
    <t>2019-10-15 22:13</t>
  </si>
  <si>
    <t>这些鸟儿竟然在南开？！自然博物社带你走进南开观鸟生活~</t>
  </si>
  <si>
    <t>2021-11-11 12:00</t>
  </si>
  <si>
    <t>【百年南开 点亮全球】全球地标建筑亮灯为百年南开庆生</t>
  </si>
  <si>
    <t>2019-10-20 18:45</t>
  </si>
  <si>
    <t>南开大学丨立冬前，我们用了一个月的时间收集秋天，希望能治愈你所有的不开心丨附赠南开大学校园初雪丨bgm打上花火</t>
  </si>
  <si>
    <t>2021-11-10 19:45</t>
  </si>
  <si>
    <t>《中国乒乓》来到南开大学！</t>
  </si>
  <si>
    <t>2023-03-01 09:11</t>
  </si>
  <si>
    <t>【南开大学×南风动漫社】2021BDF——与梦盛开 | 此间南开正春，你我与梦盛开</t>
  </si>
  <si>
    <t>2021-04-05 10:59</t>
  </si>
  <si>
    <t>南开大学强基计划政策解读</t>
  </si>
  <si>
    <t>2022-04-05 15:31</t>
  </si>
  <si>
    <t>【舌尖上的南开·冬至篇】吃到冬至的饺子了吗~</t>
  </si>
  <si>
    <t>2020-12-21 21:37</t>
  </si>
  <si>
    <t>如果雪花回归天空</t>
  </si>
  <si>
    <t>2022-03-19 14:20</t>
  </si>
  <si>
    <t>毕业大礼包 | 韶华永熠，未来可期</t>
  </si>
  <si>
    <t>2022-06-22 18:00</t>
  </si>
  <si>
    <t>【NKU小笑话】当你忘记填写防疫信息表时……下次还敢吗！</t>
  </si>
  <si>
    <t>2020-06-18 13:33</t>
  </si>
  <si>
    <t>制作南开大学2021届毕业礼中的锦鲤折纸到底要多久？</t>
  </si>
  <si>
    <t>2021-06-30 19:14</t>
  </si>
  <si>
    <t>2022毕业快乐！</t>
  </si>
  <si>
    <t>影视</t>
  </si>
  <si>
    <t>2022-06-21 12:32</t>
  </si>
  <si>
    <t>【纪录短片】百年南开给你一份百年的温柔</t>
  </si>
  <si>
    <t>2019-10-24 22:25</t>
  </si>
  <si>
    <t>【南开懂都懂 · 第五期】  专业秘密大爆料，你有没有感同身受?</t>
  </si>
  <si>
    <t>2022-11-17 18:39</t>
  </si>
  <si>
    <t>【南开懂都懂 · 第三期】天津话是最迷人的语言？让我们来看看21级新生的校园生活吧~</t>
  </si>
  <si>
    <t>2021-11-01 10:40</t>
  </si>
  <si>
    <t>哲学是什么?南开哲学院的老师这么说</t>
  </si>
  <si>
    <t>2023-04-07 16:52</t>
  </si>
  <si>
    <t>写给南开的歌</t>
  </si>
  <si>
    <t>2019-10-21 16:00</t>
  </si>
  <si>
    <t>【NKU炬变说唱×Fashion街舞社】南开说唱厂牌遇上南开街舞，梦幻联动！</t>
  </si>
  <si>
    <t>2020-12-14 13:23</t>
  </si>
  <si>
    <t>上新了！这些“老南开”落户新校区~</t>
  </si>
  <si>
    <t>2019-05-29 19:48</t>
  </si>
  <si>
    <t>用电影质感打开南开秋天</t>
  </si>
  <si>
    <t>2022-11-11 11:45</t>
  </si>
  <si>
    <t>【春雪·南开】你见过四月飘雪的南开吗？</t>
  </si>
  <si>
    <t>2021-05-07 09:30</t>
  </si>
  <si>
    <t>《错位时空天津疫情版》</t>
  </si>
  <si>
    <t>2022-01-16 22:10</t>
  </si>
  <si>
    <t>只见键盘不见“侠”</t>
  </si>
  <si>
    <t>2022-09-13 16:50</t>
  </si>
  <si>
    <t>【抗疫mv】南开人与全体抗疫战斗者《同呼吸》</t>
  </si>
  <si>
    <t>2020-02-15 17:40</t>
  </si>
  <si>
    <t>【飞扬】毕业季丨南开大学旅院2020届本科生毕业纪念微电影</t>
  </si>
  <si>
    <t>2020-07-14 13:46</t>
  </si>
  <si>
    <t>我们终会在春天相遇</t>
  </si>
  <si>
    <t>2022-01-18 18:31</t>
  </si>
  <si>
    <t>世界杯来了！啦啦队南开分队申请加入！</t>
  </si>
  <si>
    <t>2022-11-23 17:30</t>
  </si>
  <si>
    <t>随机采访：五一打算怎么过？|“千里迢迢来到南开大学却发现···”</t>
  </si>
  <si>
    <t>2023-04-30 19:38</t>
  </si>
  <si>
    <t>“这盛世，如您所愿”周恩来总理诞辰124周年纪念曲</t>
  </si>
  <si>
    <t>2022-03-06 00:00</t>
  </si>
  <si>
    <t>【混剪丨相会中华腾飞之时】纪念周恩来总理</t>
  </si>
  <si>
    <t>2020-01-08 20:42</t>
  </si>
  <si>
    <t>三个“绿码”的留校生活</t>
  </si>
  <si>
    <t>2022-01-20 11:43</t>
  </si>
  <si>
    <t>沙画向 | 还没来的新生，心里的南开是啥样？</t>
  </si>
  <si>
    <t>2019-08-04 21:21</t>
  </si>
  <si>
    <t>简单但“Fashion”版 | NKU练习室舞蹈混剪</t>
  </si>
  <si>
    <t>2023-03-20 13:30</t>
  </si>
  <si>
    <t>全球南开人都为你点赞！</t>
  </si>
  <si>
    <t>2019-06-17 17:34</t>
  </si>
  <si>
    <t>【原创mv】“仰望星空，初心永怀”两弹一星元勋郭永怀诞辰114周年纪念曲</t>
  </si>
  <si>
    <t>2023-04-04 11:45</t>
  </si>
  <si>
    <t>南开春天来了！这首mv送给爱南开的你~</t>
  </si>
  <si>
    <t>2019-04-01 11:13</t>
  </si>
  <si>
    <t>南青画像 | 叮~你最想知道的NKU新媒体使用情况调研结果来啦！</t>
  </si>
  <si>
    <t>2022-04-13 13:24</t>
  </si>
  <si>
    <t>【迷你纪录片】十分钟带你领略南开百年风采</t>
  </si>
  <si>
    <t>2019-10-22 16:05</t>
  </si>
  <si>
    <t>【纪录片】男兵女帅——一个藏族女孩的突围</t>
  </si>
  <si>
    <t>纪录片</t>
  </si>
  <si>
    <t>2020-11-18 14:19</t>
  </si>
  <si>
    <t>失踪校口回归，带你看南开的春华~</t>
  </si>
  <si>
    <t>2019-03-25 22:12</t>
  </si>
  <si>
    <t>南开哲学百年 | 1982-2022一段奇妙穿越旅程</t>
  </si>
  <si>
    <t>2023-04-10 10:58</t>
  </si>
  <si>
    <t>【NKU抗疫科普站】测温枪怎样知道你的体温</t>
  </si>
  <si>
    <t>2020-05-10 10:00</t>
  </si>
  <si>
    <t>《风雨同行》南开学子用军训成果致敬中国人民解放军空军建军节</t>
  </si>
  <si>
    <t>2022-11-11 16:15</t>
  </si>
  <si>
    <t>【特别讲座】陈省身先生的学术成就（张伟平院士—南开陈省身数学研究所）</t>
  </si>
  <si>
    <t>2021-12-24 17:19</t>
  </si>
  <si>
    <t>南开人花式祝福祖国</t>
  </si>
  <si>
    <t>2019-03-06 00:24</t>
  </si>
  <si>
    <t>南开大学主题邮局，校园新晋网红店！</t>
  </si>
  <si>
    <t>2019-04-10 09:44</t>
  </si>
  <si>
    <t>《南开化学 弦歌百年》</t>
  </si>
  <si>
    <t>2021-11-01 14:52</t>
  </si>
  <si>
    <t>哲学是什么？南开哲学院的同学这么说</t>
  </si>
  <si>
    <t>2023-04-07 16:56</t>
  </si>
  <si>
    <t>【活动宣传】从小白变大佬，线下无人机体验活动来啦！</t>
  </si>
  <si>
    <t>数码</t>
  </si>
  <si>
    <t>2021-03-23 15:23</t>
  </si>
  <si>
    <t>来自NKU的520表白</t>
  </si>
  <si>
    <t>2019-05-22 10:00</t>
  </si>
  <si>
    <t>有奖征稿丨南开人的五一奇遇</t>
  </si>
  <si>
    <t>2023-04-28 20:12</t>
  </si>
  <si>
    <t>南开大学第三届梨花节来了！共襄盛世梨园荟</t>
  </si>
  <si>
    <t>2019-04-10 09:42</t>
  </si>
  <si>
    <t>来了！南开大学爱国主义教育基地网站和手机导览平台</t>
  </si>
  <si>
    <t>2019-04-01 11:01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</si>
</sst>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vertical="center"/>
    </xf>
    <xf numFmtId="0" fontId="3" fillId="0" borderId="0" xfId="0" applyFont="1" applyFill="1" applyAlignment="1"/>
    <xf numFmtId="0" fontId="4" fillId="0" borderId="0" xfId="0" applyFont="1" applyFill="1" applyAlignment="1">
      <alignment vertical="center"/>
    </xf>
    <xf numFmtId="14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3"/>
  <sheetViews>
    <sheetView workbookViewId="0">
      <selection activeCell="R12" sqref="R12"/>
    </sheetView>
  </sheetViews>
  <sheetFormatPr defaultColWidth="9" defaultRowHeight="14.4"/>
  <cols>
    <col min="1" max="1" width="10.2222222222222"/>
  </cols>
  <sheetData>
    <row r="1" spans="1:15">
      <c r="A1" s="2" t="s">
        <v>0</v>
      </c>
      <c r="B1" s="3" t="s">
        <v>1</v>
      </c>
      <c r="C1" s="3" t="s">
        <v>2</v>
      </c>
      <c r="D1" s="3" t="s">
        <v>3</v>
      </c>
      <c r="E1" s="3"/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N1" t="s">
        <v>11</v>
      </c>
      <c r="O1" t="s">
        <v>12</v>
      </c>
    </row>
    <row r="2" spans="1:15">
      <c r="A2" s="5">
        <v>44955</v>
      </c>
      <c r="B2" s="4">
        <v>97</v>
      </c>
      <c r="C2" s="4">
        <v>85133</v>
      </c>
      <c r="D2" s="4">
        <v>45</v>
      </c>
      <c r="E2" s="4"/>
      <c r="F2" s="4">
        <v>181</v>
      </c>
      <c r="G2" s="4">
        <v>4</v>
      </c>
      <c r="H2" s="4">
        <v>2</v>
      </c>
      <c r="I2" s="4">
        <v>2</v>
      </c>
      <c r="J2" s="4">
        <v>0</v>
      </c>
      <c r="K2" s="4">
        <v>0</v>
      </c>
      <c r="L2" s="4">
        <v>-1</v>
      </c>
      <c r="N2">
        <f t="shared" ref="N2:N33" si="0">F2+G2*5+H2*10+J2*20+I2*50+K2*10+L2*10</f>
        <v>311</v>
      </c>
      <c r="O2">
        <v>9</v>
      </c>
    </row>
    <row r="3" spans="1:15">
      <c r="A3" s="5">
        <v>44956</v>
      </c>
      <c r="B3" s="4">
        <v>97</v>
      </c>
      <c r="C3" s="4">
        <v>85139</v>
      </c>
      <c r="D3" s="4">
        <v>45</v>
      </c>
      <c r="E3" s="4"/>
      <c r="F3" s="4">
        <v>149</v>
      </c>
      <c r="G3" s="4">
        <v>0</v>
      </c>
      <c r="H3" s="4">
        <v>0</v>
      </c>
      <c r="I3" s="4">
        <v>1</v>
      </c>
      <c r="J3" s="4">
        <v>0</v>
      </c>
      <c r="K3" s="4">
        <v>2</v>
      </c>
      <c r="L3" s="4">
        <v>2</v>
      </c>
      <c r="N3">
        <f t="shared" si="0"/>
        <v>239</v>
      </c>
      <c r="O3">
        <f t="shared" ref="O3:O34" si="1">C3-C2</f>
        <v>6</v>
      </c>
    </row>
    <row r="4" spans="1:15">
      <c r="A4" s="5">
        <v>44957</v>
      </c>
      <c r="B4" s="4">
        <v>97</v>
      </c>
      <c r="C4" s="4">
        <v>85138</v>
      </c>
      <c r="D4" s="4">
        <v>45</v>
      </c>
      <c r="E4" s="4"/>
      <c r="F4" s="4">
        <v>141</v>
      </c>
      <c r="G4" s="4">
        <v>1</v>
      </c>
      <c r="H4" s="4">
        <v>2</v>
      </c>
      <c r="I4" s="4">
        <v>1</v>
      </c>
      <c r="J4" s="4">
        <v>0</v>
      </c>
      <c r="K4" s="4">
        <v>0</v>
      </c>
      <c r="L4" s="4">
        <v>0</v>
      </c>
      <c r="N4">
        <f t="shared" si="0"/>
        <v>216</v>
      </c>
      <c r="O4">
        <f t="shared" si="1"/>
        <v>-1</v>
      </c>
    </row>
    <row r="5" spans="1:15">
      <c r="A5" s="5">
        <v>44958</v>
      </c>
      <c r="B5" s="4">
        <v>97</v>
      </c>
      <c r="C5" s="4">
        <v>85155</v>
      </c>
      <c r="D5" s="4">
        <v>45</v>
      </c>
      <c r="E5" s="4"/>
      <c r="F5" s="4">
        <v>156</v>
      </c>
      <c r="G5" s="4">
        <v>3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N5">
        <f t="shared" si="0"/>
        <v>171</v>
      </c>
      <c r="O5">
        <f t="shared" si="1"/>
        <v>17</v>
      </c>
    </row>
    <row r="6" spans="1:15">
      <c r="A6" s="5">
        <v>44959</v>
      </c>
      <c r="B6" s="4">
        <v>97</v>
      </c>
      <c r="C6" s="4">
        <v>85167</v>
      </c>
      <c r="D6" s="4">
        <v>45</v>
      </c>
      <c r="E6" s="4"/>
      <c r="F6" s="4">
        <v>142</v>
      </c>
      <c r="G6" s="4">
        <v>2</v>
      </c>
      <c r="H6" s="4">
        <v>2</v>
      </c>
      <c r="I6" s="4">
        <v>0</v>
      </c>
      <c r="J6" s="4">
        <v>0</v>
      </c>
      <c r="K6" s="4">
        <v>0</v>
      </c>
      <c r="L6" s="4">
        <v>0</v>
      </c>
      <c r="N6">
        <f t="shared" si="0"/>
        <v>172</v>
      </c>
      <c r="O6">
        <f t="shared" si="1"/>
        <v>12</v>
      </c>
    </row>
    <row r="7" spans="1:15">
      <c r="A7" s="5">
        <v>44960</v>
      </c>
      <c r="B7" s="4">
        <v>97</v>
      </c>
      <c r="C7" s="4">
        <v>85194</v>
      </c>
      <c r="D7" s="4">
        <v>45</v>
      </c>
      <c r="E7" s="4"/>
      <c r="F7" s="4">
        <v>159</v>
      </c>
      <c r="G7" s="4">
        <v>6</v>
      </c>
      <c r="H7" s="4">
        <v>2</v>
      </c>
      <c r="I7" s="4">
        <v>2</v>
      </c>
      <c r="J7" s="4">
        <v>1</v>
      </c>
      <c r="K7" s="4">
        <v>0</v>
      </c>
      <c r="L7" s="4">
        <v>0</v>
      </c>
      <c r="N7">
        <f t="shared" si="0"/>
        <v>329</v>
      </c>
      <c r="O7">
        <f t="shared" si="1"/>
        <v>27</v>
      </c>
    </row>
    <row r="8" spans="1:15">
      <c r="A8" s="5">
        <v>44961</v>
      </c>
      <c r="B8" s="4">
        <v>97</v>
      </c>
      <c r="C8" s="4">
        <v>85201</v>
      </c>
      <c r="D8" s="4">
        <v>45</v>
      </c>
      <c r="E8" s="4"/>
      <c r="F8" s="4">
        <v>184</v>
      </c>
      <c r="G8" s="4">
        <v>4</v>
      </c>
      <c r="H8" s="4">
        <v>2</v>
      </c>
      <c r="I8" s="4">
        <v>0</v>
      </c>
      <c r="J8" s="4">
        <v>1</v>
      </c>
      <c r="K8" s="4">
        <v>1</v>
      </c>
      <c r="L8" s="4">
        <v>0</v>
      </c>
      <c r="N8">
        <f t="shared" si="0"/>
        <v>254</v>
      </c>
      <c r="O8">
        <f t="shared" si="1"/>
        <v>7</v>
      </c>
    </row>
    <row r="9" spans="1:15">
      <c r="A9" s="5">
        <v>44962</v>
      </c>
      <c r="B9" s="4">
        <v>97</v>
      </c>
      <c r="C9" s="4">
        <v>85220</v>
      </c>
      <c r="D9" s="4">
        <v>45</v>
      </c>
      <c r="E9" s="4"/>
      <c r="F9" s="4">
        <v>181</v>
      </c>
      <c r="G9" s="4">
        <v>6</v>
      </c>
      <c r="H9" s="4">
        <v>1</v>
      </c>
      <c r="I9" s="4">
        <v>1</v>
      </c>
      <c r="J9" s="4">
        <v>0</v>
      </c>
      <c r="K9" s="4">
        <v>0</v>
      </c>
      <c r="L9" s="4">
        <v>0</v>
      </c>
      <c r="N9">
        <f t="shared" si="0"/>
        <v>271</v>
      </c>
      <c r="O9">
        <f t="shared" si="1"/>
        <v>19</v>
      </c>
    </row>
    <row r="10" spans="1:15">
      <c r="A10" s="5">
        <v>44963</v>
      </c>
      <c r="B10" s="4">
        <v>97</v>
      </c>
      <c r="C10" s="4">
        <v>85226</v>
      </c>
      <c r="D10" s="4">
        <v>45</v>
      </c>
      <c r="E10" s="4"/>
      <c r="F10" s="4">
        <v>210</v>
      </c>
      <c r="G10" s="4">
        <v>6</v>
      </c>
      <c r="H10" s="4">
        <v>3</v>
      </c>
      <c r="I10" s="4">
        <v>4</v>
      </c>
      <c r="J10" s="4">
        <v>6</v>
      </c>
      <c r="K10" s="4">
        <v>1</v>
      </c>
      <c r="L10" s="4">
        <v>0</v>
      </c>
      <c r="N10">
        <f t="shared" si="0"/>
        <v>600</v>
      </c>
      <c r="O10">
        <f t="shared" si="1"/>
        <v>6</v>
      </c>
    </row>
    <row r="11" spans="1:15">
      <c r="A11" s="5">
        <v>44964</v>
      </c>
      <c r="B11" s="4">
        <v>97</v>
      </c>
      <c r="C11" s="4">
        <v>85242</v>
      </c>
      <c r="D11" s="4">
        <v>45</v>
      </c>
      <c r="E11" s="4"/>
      <c r="F11" s="4">
        <v>201</v>
      </c>
      <c r="G11" s="4">
        <v>5</v>
      </c>
      <c r="H11" s="4">
        <v>0</v>
      </c>
      <c r="I11" s="4">
        <v>0</v>
      </c>
      <c r="J11" s="4">
        <v>2</v>
      </c>
      <c r="K11" s="4">
        <v>0</v>
      </c>
      <c r="L11" s="4">
        <v>0</v>
      </c>
      <c r="N11">
        <f t="shared" si="0"/>
        <v>266</v>
      </c>
      <c r="O11">
        <f t="shared" si="1"/>
        <v>16</v>
      </c>
    </row>
    <row r="12" spans="1:15">
      <c r="A12" s="5">
        <v>44965</v>
      </c>
      <c r="B12" s="4">
        <v>97</v>
      </c>
      <c r="C12" s="4">
        <v>85233</v>
      </c>
      <c r="D12" s="4">
        <v>45</v>
      </c>
      <c r="E12" s="4"/>
      <c r="F12" s="4">
        <v>185</v>
      </c>
      <c r="G12" s="4">
        <v>2</v>
      </c>
      <c r="H12" s="4">
        <v>0</v>
      </c>
      <c r="I12" s="4">
        <v>1</v>
      </c>
      <c r="J12" s="4">
        <v>0</v>
      </c>
      <c r="K12" s="4">
        <v>0</v>
      </c>
      <c r="L12" s="4">
        <v>0</v>
      </c>
      <c r="N12">
        <f t="shared" si="0"/>
        <v>245</v>
      </c>
      <c r="O12">
        <f t="shared" si="1"/>
        <v>-9</v>
      </c>
    </row>
    <row r="13" spans="1:15">
      <c r="A13" s="5">
        <v>44966</v>
      </c>
      <c r="B13" s="4">
        <v>97</v>
      </c>
      <c r="C13" s="4">
        <v>85231</v>
      </c>
      <c r="D13" s="4">
        <v>45</v>
      </c>
      <c r="E13" s="4"/>
      <c r="F13" s="4">
        <v>160</v>
      </c>
      <c r="G13" s="4">
        <v>3</v>
      </c>
      <c r="H13" s="4">
        <v>0</v>
      </c>
      <c r="I13" s="4">
        <v>1</v>
      </c>
      <c r="J13" s="4">
        <v>0</v>
      </c>
      <c r="K13" s="4">
        <v>0</v>
      </c>
      <c r="L13" s="4">
        <v>0</v>
      </c>
      <c r="N13">
        <f t="shared" si="0"/>
        <v>225</v>
      </c>
      <c r="O13">
        <f t="shared" si="1"/>
        <v>-2</v>
      </c>
    </row>
    <row r="14" spans="1:15">
      <c r="A14" s="5">
        <v>44967</v>
      </c>
      <c r="B14" s="4">
        <v>97</v>
      </c>
      <c r="C14" s="4">
        <v>85229</v>
      </c>
      <c r="D14" s="4">
        <v>45</v>
      </c>
      <c r="E14" s="4"/>
      <c r="F14" s="4">
        <v>202</v>
      </c>
      <c r="G14" s="4">
        <v>4</v>
      </c>
      <c r="H14" s="4">
        <v>0</v>
      </c>
      <c r="I14" s="4">
        <v>2</v>
      </c>
      <c r="J14" s="4">
        <v>2</v>
      </c>
      <c r="K14" s="4">
        <v>0</v>
      </c>
      <c r="L14" s="4">
        <v>1</v>
      </c>
      <c r="N14">
        <f t="shared" si="0"/>
        <v>372</v>
      </c>
      <c r="O14">
        <f t="shared" si="1"/>
        <v>-2</v>
      </c>
    </row>
    <row r="15" spans="1:15">
      <c r="A15" s="5">
        <v>44968</v>
      </c>
      <c r="B15" s="4">
        <v>97</v>
      </c>
      <c r="C15" s="4">
        <v>85235</v>
      </c>
      <c r="D15" s="4">
        <v>45</v>
      </c>
      <c r="E15" s="4"/>
      <c r="F15" s="4">
        <v>155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-1</v>
      </c>
      <c r="N15">
        <f t="shared" si="0"/>
        <v>145</v>
      </c>
      <c r="O15">
        <f t="shared" si="1"/>
        <v>6</v>
      </c>
    </row>
    <row r="16" spans="1:15">
      <c r="A16" s="5">
        <v>44969</v>
      </c>
      <c r="B16" s="4">
        <v>97</v>
      </c>
      <c r="C16" s="4">
        <v>85256</v>
      </c>
      <c r="D16" s="4">
        <v>45</v>
      </c>
      <c r="E16" s="4"/>
      <c r="F16" s="4">
        <v>188</v>
      </c>
      <c r="G16" s="4">
        <v>4</v>
      </c>
      <c r="H16" s="4">
        <v>1</v>
      </c>
      <c r="I16" s="4">
        <v>2</v>
      </c>
      <c r="J16" s="4">
        <v>2</v>
      </c>
      <c r="K16" s="4">
        <v>0</v>
      </c>
      <c r="L16" s="4">
        <v>1</v>
      </c>
      <c r="N16">
        <f t="shared" si="0"/>
        <v>368</v>
      </c>
      <c r="O16">
        <f t="shared" si="1"/>
        <v>21</v>
      </c>
    </row>
    <row r="17" spans="1:15">
      <c r="A17" s="5">
        <v>44970</v>
      </c>
      <c r="B17" s="4">
        <v>97</v>
      </c>
      <c r="C17" s="4">
        <v>85256</v>
      </c>
      <c r="D17" s="4">
        <v>45</v>
      </c>
      <c r="E17" s="4"/>
      <c r="F17" s="4">
        <v>163</v>
      </c>
      <c r="G17" s="4">
        <v>2</v>
      </c>
      <c r="H17" s="4">
        <v>0</v>
      </c>
      <c r="I17" s="4">
        <v>1</v>
      </c>
      <c r="J17" s="4">
        <v>1</v>
      </c>
      <c r="K17" s="4">
        <v>0</v>
      </c>
      <c r="L17" s="4">
        <v>0</v>
      </c>
      <c r="N17">
        <f t="shared" si="0"/>
        <v>243</v>
      </c>
      <c r="O17">
        <f t="shared" si="1"/>
        <v>0</v>
      </c>
    </row>
    <row r="18" spans="1:15">
      <c r="A18" s="5">
        <v>44971</v>
      </c>
      <c r="B18" s="4">
        <v>97</v>
      </c>
      <c r="C18" s="4">
        <v>85257</v>
      </c>
      <c r="D18" s="4">
        <v>45</v>
      </c>
      <c r="E18" s="4"/>
      <c r="F18" s="4">
        <v>171</v>
      </c>
      <c r="G18" s="4">
        <v>3</v>
      </c>
      <c r="H18" s="4">
        <v>0</v>
      </c>
      <c r="I18" s="4">
        <v>1</v>
      </c>
      <c r="J18" s="4">
        <v>0</v>
      </c>
      <c r="K18" s="4">
        <v>0</v>
      </c>
      <c r="L18" s="4">
        <v>0</v>
      </c>
      <c r="N18">
        <f t="shared" si="0"/>
        <v>236</v>
      </c>
      <c r="O18">
        <f t="shared" si="1"/>
        <v>1</v>
      </c>
    </row>
    <row r="19" spans="1:15">
      <c r="A19" s="5">
        <v>44972</v>
      </c>
      <c r="B19" s="4">
        <v>97</v>
      </c>
      <c r="C19" s="4">
        <v>85259</v>
      </c>
      <c r="D19" s="4">
        <v>45</v>
      </c>
      <c r="E19" s="4"/>
      <c r="F19" s="4">
        <v>145</v>
      </c>
      <c r="G19" s="4">
        <v>2</v>
      </c>
      <c r="H19" s="4">
        <v>0</v>
      </c>
      <c r="I19" s="4">
        <v>2</v>
      </c>
      <c r="J19" s="4">
        <v>0</v>
      </c>
      <c r="K19" s="4">
        <v>0</v>
      </c>
      <c r="L19" s="4">
        <v>0</v>
      </c>
      <c r="N19">
        <f t="shared" si="0"/>
        <v>255</v>
      </c>
      <c r="O19">
        <f t="shared" si="1"/>
        <v>2</v>
      </c>
    </row>
    <row r="20" spans="1:15">
      <c r="A20" s="5">
        <v>44973</v>
      </c>
      <c r="B20" s="4">
        <v>97</v>
      </c>
      <c r="C20" s="4">
        <v>85264</v>
      </c>
      <c r="D20" s="4">
        <v>45</v>
      </c>
      <c r="E20" s="4"/>
      <c r="F20" s="4">
        <v>146</v>
      </c>
      <c r="G20" s="4">
        <v>2</v>
      </c>
      <c r="H20" s="4">
        <v>0</v>
      </c>
      <c r="I20" s="4">
        <v>3</v>
      </c>
      <c r="J20" s="4">
        <v>0</v>
      </c>
      <c r="K20" s="4">
        <v>0</v>
      </c>
      <c r="L20" s="4">
        <v>1</v>
      </c>
      <c r="N20">
        <f t="shared" si="0"/>
        <v>316</v>
      </c>
      <c r="O20">
        <f t="shared" si="1"/>
        <v>5</v>
      </c>
    </row>
    <row r="21" spans="1:15">
      <c r="A21" s="5">
        <v>44974</v>
      </c>
      <c r="B21" s="4">
        <v>97</v>
      </c>
      <c r="C21" s="4">
        <v>85269</v>
      </c>
      <c r="D21" s="4">
        <v>46</v>
      </c>
      <c r="E21" s="4"/>
      <c r="F21" s="4">
        <v>139</v>
      </c>
      <c r="G21" s="4">
        <v>5</v>
      </c>
      <c r="H21" s="4">
        <v>4</v>
      </c>
      <c r="I21" s="4">
        <v>0</v>
      </c>
      <c r="J21" s="4">
        <v>0</v>
      </c>
      <c r="K21" s="4">
        <v>0</v>
      </c>
      <c r="L21" s="4">
        <v>1</v>
      </c>
      <c r="N21">
        <f t="shared" si="0"/>
        <v>214</v>
      </c>
      <c r="O21">
        <f t="shared" si="1"/>
        <v>5</v>
      </c>
    </row>
    <row r="22" spans="1:15">
      <c r="A22" s="5">
        <v>44975</v>
      </c>
      <c r="B22" s="4">
        <v>97</v>
      </c>
      <c r="C22" s="4">
        <v>85272</v>
      </c>
      <c r="D22" s="4">
        <v>46</v>
      </c>
      <c r="E22" s="4"/>
      <c r="F22" s="4">
        <v>152</v>
      </c>
      <c r="G22" s="4">
        <v>2</v>
      </c>
      <c r="H22" s="4">
        <v>1</v>
      </c>
      <c r="I22" s="4">
        <v>1</v>
      </c>
      <c r="J22" s="4">
        <v>2</v>
      </c>
      <c r="K22" s="4">
        <v>0</v>
      </c>
      <c r="L22" s="4">
        <v>0</v>
      </c>
      <c r="N22">
        <f t="shared" si="0"/>
        <v>262</v>
      </c>
      <c r="O22">
        <f t="shared" si="1"/>
        <v>3</v>
      </c>
    </row>
    <row r="23" spans="1:15">
      <c r="A23" s="5">
        <v>44976</v>
      </c>
      <c r="B23" s="4">
        <v>97</v>
      </c>
      <c r="C23" s="4">
        <v>85289</v>
      </c>
      <c r="D23" s="4">
        <v>46</v>
      </c>
      <c r="E23" s="4"/>
      <c r="F23" s="4">
        <v>190</v>
      </c>
      <c r="G23" s="4">
        <v>6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N23">
        <f t="shared" si="0"/>
        <v>220</v>
      </c>
      <c r="O23">
        <f t="shared" si="1"/>
        <v>17</v>
      </c>
    </row>
    <row r="24" spans="1:15">
      <c r="A24" s="5">
        <v>44977</v>
      </c>
      <c r="B24" s="4">
        <v>97</v>
      </c>
      <c r="C24" s="4">
        <v>85298</v>
      </c>
      <c r="D24" s="4">
        <v>46</v>
      </c>
      <c r="E24" s="4"/>
      <c r="F24" s="4">
        <v>210</v>
      </c>
      <c r="G24" s="4">
        <v>5</v>
      </c>
      <c r="H24" s="4">
        <v>2</v>
      </c>
      <c r="I24" s="4">
        <v>3</v>
      </c>
      <c r="J24" s="4">
        <v>0</v>
      </c>
      <c r="K24" s="4">
        <v>1</v>
      </c>
      <c r="L24" s="4">
        <v>0</v>
      </c>
      <c r="N24">
        <f t="shared" si="0"/>
        <v>415</v>
      </c>
      <c r="O24">
        <f t="shared" si="1"/>
        <v>9</v>
      </c>
    </row>
    <row r="25" spans="1:15">
      <c r="A25" s="5">
        <v>44978</v>
      </c>
      <c r="B25" s="4">
        <v>97</v>
      </c>
      <c r="C25" s="4">
        <v>85303</v>
      </c>
      <c r="D25" s="4">
        <v>46</v>
      </c>
      <c r="E25" s="4"/>
      <c r="F25" s="4">
        <v>159</v>
      </c>
      <c r="G25" s="4">
        <v>5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N25">
        <f t="shared" si="0"/>
        <v>184</v>
      </c>
      <c r="O25">
        <f t="shared" si="1"/>
        <v>5</v>
      </c>
    </row>
    <row r="26" spans="1:15">
      <c r="A26" s="5">
        <v>44979</v>
      </c>
      <c r="B26" s="4">
        <v>97</v>
      </c>
      <c r="C26" s="4">
        <v>85305</v>
      </c>
      <c r="D26" s="4">
        <v>46</v>
      </c>
      <c r="E26" s="4"/>
      <c r="F26" s="4">
        <v>117</v>
      </c>
      <c r="G26" s="4">
        <v>1</v>
      </c>
      <c r="H26" s="4">
        <v>0</v>
      </c>
      <c r="I26" s="4">
        <v>1</v>
      </c>
      <c r="J26" s="4">
        <v>0</v>
      </c>
      <c r="K26" s="4">
        <v>0</v>
      </c>
      <c r="L26" s="4">
        <v>0</v>
      </c>
      <c r="N26">
        <f t="shared" si="0"/>
        <v>172</v>
      </c>
      <c r="O26">
        <f t="shared" si="1"/>
        <v>2</v>
      </c>
    </row>
    <row r="27" spans="1:15">
      <c r="A27" s="5">
        <v>44980</v>
      </c>
      <c r="B27" s="4">
        <v>97</v>
      </c>
      <c r="C27" s="4">
        <v>85320</v>
      </c>
      <c r="D27" s="4">
        <v>46</v>
      </c>
      <c r="E27" s="4"/>
      <c r="F27" s="4">
        <v>160</v>
      </c>
      <c r="G27" s="4">
        <v>2</v>
      </c>
      <c r="H27" s="4">
        <v>0</v>
      </c>
      <c r="I27" s="4">
        <v>2</v>
      </c>
      <c r="J27" s="4">
        <v>0</v>
      </c>
      <c r="K27" s="4">
        <v>0</v>
      </c>
      <c r="L27" s="4">
        <v>0</v>
      </c>
      <c r="N27">
        <f t="shared" si="0"/>
        <v>270</v>
      </c>
      <c r="O27">
        <f t="shared" si="1"/>
        <v>15</v>
      </c>
    </row>
    <row r="28" spans="1:15">
      <c r="A28" s="5">
        <v>44981</v>
      </c>
      <c r="B28" s="4">
        <v>97</v>
      </c>
      <c r="C28" s="4">
        <v>85320</v>
      </c>
      <c r="D28" s="4">
        <v>46</v>
      </c>
      <c r="E28" s="4"/>
      <c r="F28" s="4">
        <v>147</v>
      </c>
      <c r="G28" s="4">
        <v>5</v>
      </c>
      <c r="H28" s="4">
        <v>0</v>
      </c>
      <c r="I28" s="4">
        <v>0</v>
      </c>
      <c r="J28" s="4">
        <v>0</v>
      </c>
      <c r="K28" s="4">
        <v>0</v>
      </c>
      <c r="L28" s="4">
        <v>4</v>
      </c>
      <c r="N28">
        <f t="shared" si="0"/>
        <v>212</v>
      </c>
      <c r="O28">
        <f t="shared" si="1"/>
        <v>0</v>
      </c>
    </row>
    <row r="29" spans="1:15">
      <c r="A29" s="5">
        <v>44982</v>
      </c>
      <c r="B29" s="4">
        <v>97</v>
      </c>
      <c r="C29" s="4">
        <v>85327</v>
      </c>
      <c r="D29" s="4">
        <v>46</v>
      </c>
      <c r="E29" s="4"/>
      <c r="F29" s="4">
        <v>165</v>
      </c>
      <c r="G29" s="4">
        <v>5</v>
      </c>
      <c r="H29" s="4">
        <v>1</v>
      </c>
      <c r="I29" s="4">
        <v>1</v>
      </c>
      <c r="J29" s="4">
        <v>0</v>
      </c>
      <c r="K29" s="4">
        <v>0</v>
      </c>
      <c r="L29" s="4">
        <v>0</v>
      </c>
      <c r="N29">
        <f t="shared" si="0"/>
        <v>250</v>
      </c>
      <c r="O29">
        <f t="shared" si="1"/>
        <v>7</v>
      </c>
    </row>
    <row r="30" spans="1:15">
      <c r="A30" s="5">
        <v>44983</v>
      </c>
      <c r="B30" s="4">
        <v>97</v>
      </c>
      <c r="C30" s="4">
        <v>85345</v>
      </c>
      <c r="D30" s="4">
        <v>46</v>
      </c>
      <c r="E30" s="4"/>
      <c r="F30" s="4">
        <v>208</v>
      </c>
      <c r="G30" s="4">
        <v>1</v>
      </c>
      <c r="H30" s="4">
        <v>0</v>
      </c>
      <c r="I30" s="4">
        <v>2</v>
      </c>
      <c r="J30" s="4">
        <v>0</v>
      </c>
      <c r="K30" s="4">
        <v>0</v>
      </c>
      <c r="L30" s="4">
        <v>0</v>
      </c>
      <c r="N30">
        <f t="shared" si="0"/>
        <v>313</v>
      </c>
      <c r="O30">
        <f t="shared" si="1"/>
        <v>18</v>
      </c>
    </row>
    <row r="31" spans="1:15">
      <c r="A31" s="5">
        <v>44984</v>
      </c>
      <c r="B31" s="4">
        <v>98</v>
      </c>
      <c r="C31" s="4">
        <v>85365</v>
      </c>
      <c r="D31" s="4">
        <v>46</v>
      </c>
      <c r="E31" s="4"/>
      <c r="F31" s="4">
        <v>179</v>
      </c>
      <c r="G31" s="4">
        <v>3</v>
      </c>
      <c r="H31" s="4">
        <v>0</v>
      </c>
      <c r="I31" s="4">
        <v>0</v>
      </c>
      <c r="J31" s="4">
        <v>4</v>
      </c>
      <c r="K31" s="4">
        <v>0</v>
      </c>
      <c r="L31" s="4">
        <v>3</v>
      </c>
      <c r="N31">
        <f t="shared" si="0"/>
        <v>304</v>
      </c>
      <c r="O31">
        <f t="shared" si="1"/>
        <v>20</v>
      </c>
    </row>
    <row r="32" spans="1:15">
      <c r="A32" s="5">
        <v>44985</v>
      </c>
      <c r="B32" s="4">
        <v>98</v>
      </c>
      <c r="C32" s="4">
        <v>85380</v>
      </c>
      <c r="D32" s="4">
        <v>46</v>
      </c>
      <c r="E32" s="4"/>
      <c r="F32" s="4">
        <v>2824</v>
      </c>
      <c r="G32" s="4">
        <v>355</v>
      </c>
      <c r="H32" s="4">
        <v>78</v>
      </c>
      <c r="I32" s="4">
        <v>53</v>
      </c>
      <c r="J32" s="4">
        <v>108</v>
      </c>
      <c r="K32" s="4">
        <v>69</v>
      </c>
      <c r="L32" s="4">
        <v>5</v>
      </c>
      <c r="N32">
        <f t="shared" si="0"/>
        <v>10929</v>
      </c>
      <c r="O32">
        <f t="shared" si="1"/>
        <v>15</v>
      </c>
    </row>
    <row r="33" spans="1:15">
      <c r="A33" s="5">
        <v>44986</v>
      </c>
      <c r="B33" s="4">
        <v>99</v>
      </c>
      <c r="C33" s="4">
        <v>85400</v>
      </c>
      <c r="D33" s="4">
        <v>46</v>
      </c>
      <c r="E33" s="4"/>
      <c r="F33" s="4">
        <v>1682</v>
      </c>
      <c r="G33" s="4">
        <v>142</v>
      </c>
      <c r="H33" s="4">
        <v>39</v>
      </c>
      <c r="I33" s="4">
        <v>26</v>
      </c>
      <c r="J33" s="4">
        <v>38</v>
      </c>
      <c r="K33" s="4">
        <v>34</v>
      </c>
      <c r="L33" s="4">
        <v>1</v>
      </c>
      <c r="N33">
        <f t="shared" si="0"/>
        <v>5192</v>
      </c>
      <c r="O33">
        <f t="shared" si="1"/>
        <v>20</v>
      </c>
    </row>
    <row r="34" spans="1:15">
      <c r="A34" s="5">
        <v>44987</v>
      </c>
      <c r="B34" s="4">
        <v>99</v>
      </c>
      <c r="C34" s="4">
        <v>85435</v>
      </c>
      <c r="D34" s="4">
        <v>46</v>
      </c>
      <c r="E34" s="4"/>
      <c r="F34" s="4">
        <v>3203</v>
      </c>
      <c r="G34" s="4">
        <v>195</v>
      </c>
      <c r="H34" s="4">
        <v>17</v>
      </c>
      <c r="I34" s="4">
        <v>15</v>
      </c>
      <c r="J34" s="4">
        <v>24</v>
      </c>
      <c r="K34" s="4">
        <v>32</v>
      </c>
      <c r="L34" s="4">
        <v>1</v>
      </c>
      <c r="N34">
        <f t="shared" ref="N34:N65" si="2">F34+G34*5+H34*10+J34*20+I34*50+K34*10+L34*10</f>
        <v>5908</v>
      </c>
      <c r="O34">
        <f t="shared" si="1"/>
        <v>35</v>
      </c>
    </row>
    <row r="35" spans="1:15">
      <c r="A35" s="5">
        <v>44988</v>
      </c>
      <c r="B35" s="4">
        <v>99</v>
      </c>
      <c r="C35" s="4">
        <v>85449</v>
      </c>
      <c r="D35" s="4">
        <v>46</v>
      </c>
      <c r="E35" s="4"/>
      <c r="F35" s="4">
        <v>1454</v>
      </c>
      <c r="G35" s="4">
        <v>68</v>
      </c>
      <c r="H35" s="4">
        <v>5</v>
      </c>
      <c r="I35" s="4">
        <v>3</v>
      </c>
      <c r="J35" s="4">
        <v>9</v>
      </c>
      <c r="K35" s="4">
        <v>8</v>
      </c>
      <c r="L35" s="4">
        <v>1</v>
      </c>
      <c r="N35">
        <f t="shared" si="2"/>
        <v>2264</v>
      </c>
      <c r="O35">
        <f t="shared" ref="O35:O66" si="3">C35-C34</f>
        <v>14</v>
      </c>
    </row>
    <row r="36" spans="1:15">
      <c r="A36" s="5">
        <v>44989</v>
      </c>
      <c r="B36" s="4">
        <v>99</v>
      </c>
      <c r="C36" s="4">
        <v>85471</v>
      </c>
      <c r="D36" s="4">
        <v>46</v>
      </c>
      <c r="E36" s="4"/>
      <c r="F36" s="4">
        <v>1033</v>
      </c>
      <c r="G36" s="4">
        <v>61</v>
      </c>
      <c r="H36" s="4">
        <v>7</v>
      </c>
      <c r="I36" s="4">
        <v>11</v>
      </c>
      <c r="J36" s="4">
        <v>10</v>
      </c>
      <c r="K36" s="4">
        <v>1</v>
      </c>
      <c r="L36" s="4">
        <v>1</v>
      </c>
      <c r="N36">
        <f t="shared" si="2"/>
        <v>2178</v>
      </c>
      <c r="O36">
        <f t="shared" si="3"/>
        <v>22</v>
      </c>
    </row>
    <row r="37" spans="1:15">
      <c r="A37" s="5">
        <v>44990</v>
      </c>
      <c r="B37" s="4">
        <v>99</v>
      </c>
      <c r="C37" s="4">
        <v>85519</v>
      </c>
      <c r="D37" s="4">
        <v>46</v>
      </c>
      <c r="E37" s="4"/>
      <c r="F37" s="4">
        <v>888</v>
      </c>
      <c r="G37" s="4">
        <v>49</v>
      </c>
      <c r="H37" s="4">
        <v>7</v>
      </c>
      <c r="I37" s="4">
        <v>12</v>
      </c>
      <c r="J37" s="4">
        <v>9</v>
      </c>
      <c r="K37" s="4">
        <v>2</v>
      </c>
      <c r="L37" s="4">
        <v>0</v>
      </c>
      <c r="N37">
        <f t="shared" si="2"/>
        <v>2003</v>
      </c>
      <c r="O37">
        <f t="shared" si="3"/>
        <v>48</v>
      </c>
    </row>
    <row r="38" spans="1:15">
      <c r="A38" s="5">
        <v>44991</v>
      </c>
      <c r="B38" s="4">
        <v>99</v>
      </c>
      <c r="C38" s="4">
        <v>85554</v>
      </c>
      <c r="D38" s="4">
        <v>46</v>
      </c>
      <c r="E38" s="4"/>
      <c r="F38" s="4">
        <v>771</v>
      </c>
      <c r="G38" s="4">
        <v>46</v>
      </c>
      <c r="H38" s="4">
        <v>12</v>
      </c>
      <c r="I38" s="4">
        <v>9</v>
      </c>
      <c r="J38" s="4">
        <v>9</v>
      </c>
      <c r="K38" s="4">
        <v>2</v>
      </c>
      <c r="L38" s="4">
        <v>0</v>
      </c>
      <c r="N38">
        <f t="shared" si="2"/>
        <v>1771</v>
      </c>
      <c r="O38">
        <f t="shared" si="3"/>
        <v>35</v>
      </c>
    </row>
    <row r="39" spans="1:15">
      <c r="A39" s="5">
        <v>44992</v>
      </c>
      <c r="B39" s="4">
        <v>99</v>
      </c>
      <c r="C39" s="4">
        <v>85571</v>
      </c>
      <c r="D39" s="4">
        <v>46</v>
      </c>
      <c r="E39" s="4"/>
      <c r="F39" s="4">
        <v>435</v>
      </c>
      <c r="G39" s="4">
        <v>17</v>
      </c>
      <c r="H39" s="4">
        <v>3</v>
      </c>
      <c r="I39" s="4">
        <v>3</v>
      </c>
      <c r="J39" s="4">
        <v>5</v>
      </c>
      <c r="K39" s="4">
        <v>0</v>
      </c>
      <c r="L39" s="4">
        <v>0</v>
      </c>
      <c r="N39">
        <f t="shared" si="2"/>
        <v>800</v>
      </c>
      <c r="O39">
        <f t="shared" si="3"/>
        <v>17</v>
      </c>
    </row>
    <row r="40" spans="1:15">
      <c r="A40" s="5">
        <v>44993</v>
      </c>
      <c r="B40" s="4">
        <v>99</v>
      </c>
      <c r="C40" s="4">
        <v>85590</v>
      </c>
      <c r="D40" s="4">
        <v>46</v>
      </c>
      <c r="E40" s="4"/>
      <c r="F40" s="4">
        <v>416</v>
      </c>
      <c r="G40" s="4">
        <v>13</v>
      </c>
      <c r="H40" s="4">
        <v>0</v>
      </c>
      <c r="I40" s="4">
        <v>4</v>
      </c>
      <c r="J40" s="4">
        <v>4</v>
      </c>
      <c r="K40" s="4">
        <v>3</v>
      </c>
      <c r="L40" s="4">
        <v>2</v>
      </c>
      <c r="N40">
        <f t="shared" si="2"/>
        <v>811</v>
      </c>
      <c r="O40">
        <f t="shared" si="3"/>
        <v>19</v>
      </c>
    </row>
    <row r="41" spans="1:15">
      <c r="A41" s="5">
        <v>44994</v>
      </c>
      <c r="B41" s="4">
        <v>99</v>
      </c>
      <c r="C41" s="4">
        <v>85603</v>
      </c>
      <c r="D41" s="4">
        <v>46</v>
      </c>
      <c r="E41" s="4"/>
      <c r="F41" s="4">
        <v>312</v>
      </c>
      <c r="G41" s="4">
        <v>9</v>
      </c>
      <c r="H41" s="4">
        <v>0</v>
      </c>
      <c r="I41" s="4">
        <v>-3</v>
      </c>
      <c r="J41" s="4">
        <v>0</v>
      </c>
      <c r="K41" s="4">
        <v>1</v>
      </c>
      <c r="L41" s="4">
        <v>0</v>
      </c>
      <c r="N41">
        <f t="shared" si="2"/>
        <v>217</v>
      </c>
      <c r="O41">
        <f t="shared" si="3"/>
        <v>13</v>
      </c>
    </row>
    <row r="42" spans="1:15">
      <c r="A42" s="5">
        <v>44995</v>
      </c>
      <c r="B42" s="4">
        <v>99</v>
      </c>
      <c r="C42" s="4">
        <v>85623</v>
      </c>
      <c r="D42" s="4">
        <v>46</v>
      </c>
      <c r="E42" s="4"/>
      <c r="F42" s="4">
        <v>336</v>
      </c>
      <c r="G42" s="4">
        <v>14</v>
      </c>
      <c r="H42" s="4">
        <v>5</v>
      </c>
      <c r="I42" s="4">
        <v>1</v>
      </c>
      <c r="J42" s="4">
        <v>7</v>
      </c>
      <c r="K42" s="4">
        <v>1</v>
      </c>
      <c r="L42" s="4">
        <v>0</v>
      </c>
      <c r="N42">
        <f t="shared" si="2"/>
        <v>656</v>
      </c>
      <c r="O42">
        <f t="shared" si="3"/>
        <v>20</v>
      </c>
    </row>
    <row r="43" spans="1:15">
      <c r="A43" s="5">
        <v>44996</v>
      </c>
      <c r="B43" s="4">
        <v>99</v>
      </c>
      <c r="C43" s="4">
        <v>85634</v>
      </c>
      <c r="D43" s="4">
        <v>46</v>
      </c>
      <c r="E43" s="4"/>
      <c r="F43" s="4">
        <v>342</v>
      </c>
      <c r="G43" s="4">
        <v>16</v>
      </c>
      <c r="H43" s="4">
        <v>5</v>
      </c>
      <c r="I43" s="4">
        <v>7</v>
      </c>
      <c r="J43" s="4">
        <v>3</v>
      </c>
      <c r="K43" s="4">
        <v>2</v>
      </c>
      <c r="L43" s="4">
        <v>0</v>
      </c>
      <c r="N43">
        <f t="shared" si="2"/>
        <v>902</v>
      </c>
      <c r="O43">
        <f t="shared" si="3"/>
        <v>11</v>
      </c>
    </row>
    <row r="44" spans="1:15">
      <c r="A44" s="5">
        <v>44997</v>
      </c>
      <c r="B44" s="4">
        <v>99</v>
      </c>
      <c r="C44" s="4">
        <v>85650</v>
      </c>
      <c r="D44" s="4">
        <v>46</v>
      </c>
      <c r="E44" s="4"/>
      <c r="F44" s="4">
        <v>666</v>
      </c>
      <c r="G44" s="4">
        <v>26</v>
      </c>
      <c r="H44" s="4">
        <v>9</v>
      </c>
      <c r="I44" s="4">
        <v>3</v>
      </c>
      <c r="J44" s="4">
        <v>0</v>
      </c>
      <c r="K44" s="4">
        <v>4</v>
      </c>
      <c r="L44" s="4">
        <v>0</v>
      </c>
      <c r="N44">
        <f t="shared" si="2"/>
        <v>1076</v>
      </c>
      <c r="O44">
        <f t="shared" si="3"/>
        <v>16</v>
      </c>
    </row>
    <row r="45" spans="1:15">
      <c r="A45" s="5">
        <v>44998</v>
      </c>
      <c r="B45" s="4">
        <v>99</v>
      </c>
      <c r="C45" s="4">
        <v>85677</v>
      </c>
      <c r="D45" s="4">
        <v>46</v>
      </c>
      <c r="E45" s="4"/>
      <c r="F45" s="4">
        <v>464</v>
      </c>
      <c r="G45" s="4">
        <v>19</v>
      </c>
      <c r="H45" s="4">
        <v>4</v>
      </c>
      <c r="I45" s="4">
        <v>1</v>
      </c>
      <c r="J45" s="4">
        <v>2</v>
      </c>
      <c r="K45" s="4">
        <v>3</v>
      </c>
      <c r="L45" s="4">
        <v>0</v>
      </c>
      <c r="N45">
        <f t="shared" si="2"/>
        <v>719</v>
      </c>
      <c r="O45">
        <f t="shared" si="3"/>
        <v>27</v>
      </c>
    </row>
    <row r="46" spans="1:15">
      <c r="A46" s="5">
        <v>44999</v>
      </c>
      <c r="B46" s="4">
        <v>100</v>
      </c>
      <c r="C46" s="4">
        <v>85697</v>
      </c>
      <c r="D46" s="4">
        <v>46</v>
      </c>
      <c r="E46" s="4"/>
      <c r="F46" s="4">
        <v>310</v>
      </c>
      <c r="G46" s="4">
        <v>17</v>
      </c>
      <c r="H46" s="4">
        <v>3</v>
      </c>
      <c r="I46" s="4">
        <v>0</v>
      </c>
      <c r="J46" s="4">
        <v>6</v>
      </c>
      <c r="K46" s="4">
        <v>1</v>
      </c>
      <c r="L46" s="4">
        <v>2</v>
      </c>
      <c r="N46">
        <f t="shared" si="2"/>
        <v>575</v>
      </c>
      <c r="O46">
        <f t="shared" si="3"/>
        <v>20</v>
      </c>
    </row>
    <row r="47" spans="1:15">
      <c r="A47" s="5">
        <v>45000</v>
      </c>
      <c r="B47" s="4">
        <v>100</v>
      </c>
      <c r="C47" s="4">
        <v>85689</v>
      </c>
      <c r="D47" s="4">
        <v>46</v>
      </c>
      <c r="E47" s="4"/>
      <c r="F47" s="4">
        <v>4214</v>
      </c>
      <c r="G47" s="4">
        <v>301</v>
      </c>
      <c r="H47" s="4">
        <v>59</v>
      </c>
      <c r="I47" s="4">
        <v>25</v>
      </c>
      <c r="J47" s="4">
        <v>66</v>
      </c>
      <c r="K47" s="4">
        <v>48</v>
      </c>
      <c r="L47" s="4">
        <v>49</v>
      </c>
      <c r="N47">
        <f t="shared" si="2"/>
        <v>9849</v>
      </c>
      <c r="O47">
        <f t="shared" si="3"/>
        <v>-8</v>
      </c>
    </row>
    <row r="48" spans="1:15">
      <c r="A48" s="5">
        <v>45001</v>
      </c>
      <c r="B48" s="4">
        <v>100</v>
      </c>
      <c r="C48" s="4">
        <v>85700</v>
      </c>
      <c r="D48" s="4">
        <v>46</v>
      </c>
      <c r="E48" s="4"/>
      <c r="F48" s="4">
        <v>2043</v>
      </c>
      <c r="G48" s="4">
        <v>103</v>
      </c>
      <c r="H48" s="4">
        <v>26</v>
      </c>
      <c r="I48" s="4">
        <v>14</v>
      </c>
      <c r="J48" s="4">
        <v>14</v>
      </c>
      <c r="K48" s="4">
        <v>33</v>
      </c>
      <c r="L48" s="4">
        <v>19</v>
      </c>
      <c r="N48">
        <f t="shared" si="2"/>
        <v>4318</v>
      </c>
      <c r="O48">
        <f t="shared" si="3"/>
        <v>11</v>
      </c>
    </row>
    <row r="49" spans="1:15">
      <c r="A49" s="5">
        <v>45002</v>
      </c>
      <c r="B49" s="4">
        <v>100</v>
      </c>
      <c r="C49" s="4">
        <v>85709</v>
      </c>
      <c r="D49" s="4">
        <v>46</v>
      </c>
      <c r="E49" s="4"/>
      <c r="F49" s="4">
        <v>834</v>
      </c>
      <c r="G49" s="4">
        <v>36</v>
      </c>
      <c r="H49" s="4">
        <v>7</v>
      </c>
      <c r="I49" s="4">
        <v>3</v>
      </c>
      <c r="J49" s="4">
        <v>3</v>
      </c>
      <c r="K49" s="4">
        <v>7</v>
      </c>
      <c r="L49" s="4">
        <v>8</v>
      </c>
      <c r="N49">
        <f t="shared" si="2"/>
        <v>1444</v>
      </c>
      <c r="O49">
        <f t="shared" si="3"/>
        <v>9</v>
      </c>
    </row>
    <row r="50" spans="1:15">
      <c r="A50" s="5">
        <v>45003</v>
      </c>
      <c r="B50" s="4">
        <v>100</v>
      </c>
      <c r="C50" s="4">
        <v>85727</v>
      </c>
      <c r="D50" s="4">
        <v>46</v>
      </c>
      <c r="E50" s="4"/>
      <c r="F50" s="4">
        <v>860</v>
      </c>
      <c r="G50" s="4">
        <v>33</v>
      </c>
      <c r="H50" s="4">
        <v>5</v>
      </c>
      <c r="I50" s="4">
        <v>1</v>
      </c>
      <c r="J50" s="4">
        <v>6</v>
      </c>
      <c r="K50" s="4">
        <v>11</v>
      </c>
      <c r="L50" s="4">
        <v>8</v>
      </c>
      <c r="N50">
        <f t="shared" si="2"/>
        <v>1435</v>
      </c>
      <c r="O50">
        <f t="shared" si="3"/>
        <v>18</v>
      </c>
    </row>
    <row r="51" spans="1:15">
      <c r="A51" s="5">
        <v>45004</v>
      </c>
      <c r="B51" s="4">
        <v>100</v>
      </c>
      <c r="C51" s="4">
        <v>85760</v>
      </c>
      <c r="D51" s="4">
        <v>46</v>
      </c>
      <c r="E51" s="4"/>
      <c r="F51" s="4">
        <v>866</v>
      </c>
      <c r="G51" s="4">
        <v>47</v>
      </c>
      <c r="H51" s="4">
        <v>3</v>
      </c>
      <c r="I51" s="4">
        <v>3</v>
      </c>
      <c r="J51" s="4">
        <v>2</v>
      </c>
      <c r="K51" s="4">
        <v>3</v>
      </c>
      <c r="L51" s="4">
        <v>5</v>
      </c>
      <c r="N51">
        <f t="shared" si="2"/>
        <v>1401</v>
      </c>
      <c r="O51">
        <f t="shared" si="3"/>
        <v>33</v>
      </c>
    </row>
    <row r="52" spans="1:15">
      <c r="A52" s="5">
        <v>45005</v>
      </c>
      <c r="B52" s="4">
        <v>101</v>
      </c>
      <c r="C52" s="4">
        <v>85801</v>
      </c>
      <c r="D52" s="4">
        <v>46</v>
      </c>
      <c r="E52" s="4"/>
      <c r="F52" s="4">
        <v>837</v>
      </c>
      <c r="G52" s="4">
        <v>39</v>
      </c>
      <c r="H52" s="4">
        <v>5</v>
      </c>
      <c r="I52" s="4">
        <v>11</v>
      </c>
      <c r="J52" s="4">
        <v>6</v>
      </c>
      <c r="K52" s="4">
        <v>6</v>
      </c>
      <c r="L52" s="4">
        <v>5</v>
      </c>
      <c r="N52">
        <f t="shared" si="2"/>
        <v>1862</v>
      </c>
      <c r="O52">
        <f t="shared" si="3"/>
        <v>41</v>
      </c>
    </row>
    <row r="53" spans="1:15">
      <c r="A53" s="5">
        <v>45006</v>
      </c>
      <c r="B53" s="4">
        <v>102</v>
      </c>
      <c r="C53" s="4">
        <v>85800</v>
      </c>
      <c r="D53" s="4">
        <v>46</v>
      </c>
      <c r="E53" s="4"/>
      <c r="F53" s="4">
        <v>1958</v>
      </c>
      <c r="G53" s="4">
        <v>108</v>
      </c>
      <c r="H53" s="4">
        <v>17</v>
      </c>
      <c r="I53" s="4">
        <v>8</v>
      </c>
      <c r="J53" s="4">
        <v>11</v>
      </c>
      <c r="K53" s="4">
        <v>12</v>
      </c>
      <c r="L53" s="4">
        <v>2</v>
      </c>
      <c r="N53">
        <f t="shared" si="2"/>
        <v>3428</v>
      </c>
      <c r="O53">
        <f t="shared" si="3"/>
        <v>-1</v>
      </c>
    </row>
    <row r="54" spans="1:15">
      <c r="A54" s="5">
        <v>45007</v>
      </c>
      <c r="B54" s="4">
        <v>102</v>
      </c>
      <c r="C54" s="4">
        <v>85829</v>
      </c>
      <c r="D54" s="4">
        <v>46</v>
      </c>
      <c r="E54" s="4"/>
      <c r="F54" s="4">
        <v>11835</v>
      </c>
      <c r="G54" s="4">
        <v>831</v>
      </c>
      <c r="H54" s="4">
        <v>245</v>
      </c>
      <c r="I54" s="4">
        <v>144</v>
      </c>
      <c r="J54" s="4">
        <v>228</v>
      </c>
      <c r="K54" s="4">
        <v>97</v>
      </c>
      <c r="L54" s="4">
        <v>22</v>
      </c>
      <c r="N54">
        <f t="shared" si="2"/>
        <v>31390</v>
      </c>
      <c r="O54">
        <f t="shared" si="3"/>
        <v>29</v>
      </c>
    </row>
    <row r="55" spans="1:15">
      <c r="A55" s="5">
        <v>45008</v>
      </c>
      <c r="B55" s="4">
        <v>102</v>
      </c>
      <c r="C55" s="4">
        <v>86060</v>
      </c>
      <c r="D55" s="4">
        <v>46</v>
      </c>
      <c r="E55" s="4"/>
      <c r="F55" s="4">
        <v>54267</v>
      </c>
      <c r="G55" s="4">
        <v>4188</v>
      </c>
      <c r="H55" s="4">
        <v>866</v>
      </c>
      <c r="I55" s="4">
        <v>782</v>
      </c>
      <c r="J55" s="4">
        <v>864</v>
      </c>
      <c r="K55" s="4">
        <v>211</v>
      </c>
      <c r="L55" s="4">
        <v>80</v>
      </c>
      <c r="N55">
        <f t="shared" si="2"/>
        <v>143157</v>
      </c>
      <c r="O55">
        <f t="shared" si="3"/>
        <v>231</v>
      </c>
    </row>
    <row r="56" spans="1:15">
      <c r="A56" s="5">
        <v>45009</v>
      </c>
      <c r="B56" s="4">
        <v>102</v>
      </c>
      <c r="C56" s="4">
        <v>86193</v>
      </c>
      <c r="D56" s="4">
        <v>46</v>
      </c>
      <c r="E56" s="4"/>
      <c r="F56" s="4">
        <v>36997</v>
      </c>
      <c r="G56" s="4">
        <v>3204</v>
      </c>
      <c r="H56" s="4">
        <v>520</v>
      </c>
      <c r="I56" s="4">
        <v>589</v>
      </c>
      <c r="J56" s="4">
        <v>706</v>
      </c>
      <c r="K56" s="4">
        <v>92</v>
      </c>
      <c r="L56" s="4">
        <v>120</v>
      </c>
      <c r="N56">
        <f t="shared" si="2"/>
        <v>103907</v>
      </c>
      <c r="O56">
        <f t="shared" si="3"/>
        <v>133</v>
      </c>
    </row>
    <row r="57" spans="1:15">
      <c r="A57" s="5">
        <v>45010</v>
      </c>
      <c r="B57" s="4">
        <v>103</v>
      </c>
      <c r="C57" s="4">
        <v>86282</v>
      </c>
      <c r="D57" s="4">
        <v>46</v>
      </c>
      <c r="E57" s="4"/>
      <c r="F57" s="4">
        <v>24506</v>
      </c>
      <c r="G57" s="4">
        <v>2027</v>
      </c>
      <c r="H57" s="4">
        <v>271</v>
      </c>
      <c r="I57" s="4">
        <v>446</v>
      </c>
      <c r="J57" s="4">
        <v>451</v>
      </c>
      <c r="K57" s="4">
        <v>51</v>
      </c>
      <c r="L57" s="4">
        <v>40</v>
      </c>
      <c r="N57">
        <f t="shared" si="2"/>
        <v>69581</v>
      </c>
      <c r="O57">
        <f t="shared" si="3"/>
        <v>89</v>
      </c>
    </row>
    <row r="58" spans="1:15">
      <c r="A58" s="5">
        <v>45011</v>
      </c>
      <c r="B58" s="4">
        <v>104</v>
      </c>
      <c r="C58" s="4">
        <v>86425</v>
      </c>
      <c r="D58" s="4">
        <v>46</v>
      </c>
      <c r="E58" s="4"/>
      <c r="F58" s="4">
        <v>21015</v>
      </c>
      <c r="G58" s="4">
        <v>1917</v>
      </c>
      <c r="H58" s="4">
        <v>404</v>
      </c>
      <c r="I58" s="4">
        <v>423</v>
      </c>
      <c r="J58" s="4">
        <v>498</v>
      </c>
      <c r="K58" s="4">
        <v>91</v>
      </c>
      <c r="L58" s="4">
        <v>22</v>
      </c>
      <c r="N58">
        <f t="shared" si="2"/>
        <v>66880</v>
      </c>
      <c r="O58">
        <f t="shared" si="3"/>
        <v>143</v>
      </c>
    </row>
    <row r="59" spans="1:15">
      <c r="A59" s="5">
        <v>45012</v>
      </c>
      <c r="B59" s="4">
        <v>104</v>
      </c>
      <c r="C59" s="4">
        <v>86607</v>
      </c>
      <c r="D59" s="4">
        <v>46</v>
      </c>
      <c r="E59" s="4"/>
      <c r="F59" s="4">
        <v>48251</v>
      </c>
      <c r="G59" s="4">
        <v>2373</v>
      </c>
      <c r="H59" s="4">
        <v>614</v>
      </c>
      <c r="I59" s="4">
        <v>391</v>
      </c>
      <c r="J59" s="4">
        <v>490</v>
      </c>
      <c r="K59" s="4">
        <v>169</v>
      </c>
      <c r="L59" s="4">
        <v>92</v>
      </c>
      <c r="N59">
        <f t="shared" si="2"/>
        <v>98216</v>
      </c>
      <c r="O59">
        <f t="shared" si="3"/>
        <v>182</v>
      </c>
    </row>
    <row r="60" spans="1:15">
      <c r="A60" s="5">
        <v>45013</v>
      </c>
      <c r="B60" s="4">
        <v>104</v>
      </c>
      <c r="C60" s="4">
        <v>86724</v>
      </c>
      <c r="D60" s="4">
        <v>46</v>
      </c>
      <c r="E60" s="4"/>
      <c r="F60" s="4">
        <v>39975</v>
      </c>
      <c r="G60" s="4">
        <v>1819</v>
      </c>
      <c r="H60" s="4">
        <v>428</v>
      </c>
      <c r="I60" s="4">
        <v>334</v>
      </c>
      <c r="J60" s="4">
        <v>369</v>
      </c>
      <c r="K60" s="4">
        <v>77</v>
      </c>
      <c r="L60" s="4">
        <v>88</v>
      </c>
      <c r="N60">
        <f t="shared" si="2"/>
        <v>79080</v>
      </c>
      <c r="O60">
        <f t="shared" si="3"/>
        <v>117</v>
      </c>
    </row>
    <row r="61" spans="1:15">
      <c r="A61" s="5">
        <v>45014</v>
      </c>
      <c r="B61" s="4">
        <v>104</v>
      </c>
      <c r="C61" s="4">
        <v>86814</v>
      </c>
      <c r="D61" s="4">
        <v>46</v>
      </c>
      <c r="E61" s="4"/>
      <c r="F61" s="4">
        <v>32658</v>
      </c>
      <c r="G61" s="4">
        <v>1434</v>
      </c>
      <c r="H61" s="4">
        <v>292</v>
      </c>
      <c r="I61" s="4">
        <v>269</v>
      </c>
      <c r="J61" s="4">
        <v>284</v>
      </c>
      <c r="K61" s="4">
        <v>69</v>
      </c>
      <c r="L61" s="4">
        <v>72</v>
      </c>
      <c r="N61">
        <f t="shared" si="2"/>
        <v>63288</v>
      </c>
      <c r="O61">
        <f t="shared" si="3"/>
        <v>90</v>
      </c>
    </row>
    <row r="62" spans="1:15">
      <c r="A62" s="5">
        <v>45015</v>
      </c>
      <c r="B62" s="4">
        <v>104</v>
      </c>
      <c r="C62" s="4">
        <v>86874</v>
      </c>
      <c r="D62" s="4">
        <v>46</v>
      </c>
      <c r="E62" s="4"/>
      <c r="F62" s="4">
        <v>20098</v>
      </c>
      <c r="G62" s="4">
        <v>950</v>
      </c>
      <c r="H62" s="4">
        <v>135</v>
      </c>
      <c r="I62" s="4">
        <v>150</v>
      </c>
      <c r="J62" s="4">
        <v>175</v>
      </c>
      <c r="K62" s="4">
        <v>27</v>
      </c>
      <c r="L62" s="4">
        <v>27</v>
      </c>
      <c r="N62">
        <f t="shared" si="2"/>
        <v>37738</v>
      </c>
      <c r="O62">
        <f t="shared" si="3"/>
        <v>60</v>
      </c>
    </row>
    <row r="63" spans="1:15">
      <c r="A63" s="5">
        <v>45016</v>
      </c>
      <c r="B63" s="4">
        <v>104</v>
      </c>
      <c r="C63" s="4">
        <v>86920</v>
      </c>
      <c r="D63" s="4">
        <v>46</v>
      </c>
      <c r="E63" s="4"/>
      <c r="F63" s="4">
        <v>15561</v>
      </c>
      <c r="G63" s="4">
        <v>723</v>
      </c>
      <c r="H63" s="4">
        <v>88</v>
      </c>
      <c r="I63" s="4">
        <v>132</v>
      </c>
      <c r="J63" s="4">
        <v>179</v>
      </c>
      <c r="K63" s="4">
        <v>35</v>
      </c>
      <c r="L63" s="4">
        <v>23</v>
      </c>
      <c r="N63">
        <f t="shared" si="2"/>
        <v>30816</v>
      </c>
      <c r="O63">
        <f t="shared" si="3"/>
        <v>46</v>
      </c>
    </row>
    <row r="64" spans="1:15">
      <c r="A64" s="5">
        <v>45017</v>
      </c>
      <c r="B64" s="4">
        <v>104</v>
      </c>
      <c r="C64" s="4">
        <v>86971</v>
      </c>
      <c r="D64" s="4">
        <v>46</v>
      </c>
      <c r="E64" s="4"/>
      <c r="F64" s="4">
        <v>10587</v>
      </c>
      <c r="G64" s="4">
        <v>549</v>
      </c>
      <c r="H64" s="4">
        <v>56</v>
      </c>
      <c r="I64" s="4">
        <v>115</v>
      </c>
      <c r="J64" s="4">
        <v>175</v>
      </c>
      <c r="K64" s="4">
        <v>8</v>
      </c>
      <c r="L64" s="4">
        <v>18</v>
      </c>
      <c r="N64">
        <f t="shared" si="2"/>
        <v>23402</v>
      </c>
      <c r="O64">
        <f t="shared" si="3"/>
        <v>51</v>
      </c>
    </row>
    <row r="65" spans="1:15">
      <c r="A65" s="5">
        <v>45018</v>
      </c>
      <c r="B65" s="4">
        <v>104</v>
      </c>
      <c r="C65" s="4">
        <v>87023</v>
      </c>
      <c r="D65" s="4">
        <v>46</v>
      </c>
      <c r="E65" s="4"/>
      <c r="F65" s="4">
        <v>6938</v>
      </c>
      <c r="G65" s="4">
        <v>395</v>
      </c>
      <c r="H65" s="4">
        <v>39</v>
      </c>
      <c r="I65" s="4">
        <v>99</v>
      </c>
      <c r="J65" s="4">
        <v>83</v>
      </c>
      <c r="K65" s="4">
        <v>11</v>
      </c>
      <c r="L65" s="4">
        <v>3</v>
      </c>
      <c r="N65">
        <f t="shared" si="2"/>
        <v>16053</v>
      </c>
      <c r="O65">
        <f t="shared" si="3"/>
        <v>52</v>
      </c>
    </row>
    <row r="66" spans="1:15">
      <c r="A66" s="5">
        <v>45019</v>
      </c>
      <c r="B66" s="4">
        <v>104</v>
      </c>
      <c r="C66" s="4">
        <v>87091</v>
      </c>
      <c r="D66" s="4">
        <v>46</v>
      </c>
      <c r="E66" s="4"/>
      <c r="F66" s="4">
        <v>7074</v>
      </c>
      <c r="G66" s="4">
        <v>471</v>
      </c>
      <c r="H66" s="4">
        <v>48</v>
      </c>
      <c r="I66" s="4">
        <v>95</v>
      </c>
      <c r="J66" s="4">
        <v>73</v>
      </c>
      <c r="K66" s="4">
        <v>11</v>
      </c>
      <c r="L66" s="4">
        <v>11</v>
      </c>
      <c r="N66">
        <f t="shared" ref="N66:N93" si="4">F66+G66*5+H66*10+J66*20+I66*50+K66*10+L66*10</f>
        <v>16339</v>
      </c>
      <c r="O66">
        <f t="shared" si="3"/>
        <v>68</v>
      </c>
    </row>
    <row r="67" spans="1:15">
      <c r="A67" s="5">
        <v>45020</v>
      </c>
      <c r="B67" s="4">
        <v>105</v>
      </c>
      <c r="C67" s="4">
        <v>87134</v>
      </c>
      <c r="D67" s="4">
        <v>46</v>
      </c>
      <c r="E67" s="4"/>
      <c r="F67" s="4">
        <v>4869</v>
      </c>
      <c r="G67" s="4">
        <v>300</v>
      </c>
      <c r="H67" s="4">
        <v>33</v>
      </c>
      <c r="I67" s="4">
        <v>54</v>
      </c>
      <c r="J67" s="4">
        <v>65</v>
      </c>
      <c r="K67" s="4">
        <v>24</v>
      </c>
      <c r="L67" s="4">
        <v>2</v>
      </c>
      <c r="N67">
        <f t="shared" si="4"/>
        <v>10959</v>
      </c>
      <c r="O67">
        <f t="shared" ref="O67:O93" si="5">C67-C66</f>
        <v>43</v>
      </c>
    </row>
    <row r="68" spans="1:15">
      <c r="A68" s="5">
        <v>45021</v>
      </c>
      <c r="B68" s="4">
        <v>105</v>
      </c>
      <c r="C68" s="4">
        <v>87179</v>
      </c>
      <c r="D68" s="4">
        <v>46</v>
      </c>
      <c r="E68" s="4"/>
      <c r="F68" s="4">
        <v>8450</v>
      </c>
      <c r="G68" s="4">
        <v>601</v>
      </c>
      <c r="H68" s="4">
        <v>61</v>
      </c>
      <c r="I68" s="4">
        <v>111</v>
      </c>
      <c r="J68" s="4">
        <v>135</v>
      </c>
      <c r="K68" s="4">
        <v>21</v>
      </c>
      <c r="L68" s="4">
        <v>9</v>
      </c>
      <c r="N68">
        <f t="shared" si="4"/>
        <v>20615</v>
      </c>
      <c r="O68">
        <f t="shared" si="5"/>
        <v>45</v>
      </c>
    </row>
    <row r="69" spans="1:15">
      <c r="A69" s="5">
        <v>45022</v>
      </c>
      <c r="B69" s="4">
        <v>105</v>
      </c>
      <c r="C69" s="4">
        <v>87252</v>
      </c>
      <c r="D69" s="4">
        <v>46</v>
      </c>
      <c r="E69" s="4"/>
      <c r="F69" s="4">
        <v>8367</v>
      </c>
      <c r="G69" s="4">
        <v>523</v>
      </c>
      <c r="H69" s="4">
        <v>39</v>
      </c>
      <c r="I69" s="4">
        <v>109</v>
      </c>
      <c r="J69" s="4">
        <v>121</v>
      </c>
      <c r="K69" s="4">
        <v>13</v>
      </c>
      <c r="L69" s="4">
        <v>10</v>
      </c>
      <c r="N69">
        <f t="shared" si="4"/>
        <v>19472</v>
      </c>
      <c r="O69">
        <f t="shared" si="5"/>
        <v>73</v>
      </c>
    </row>
    <row r="70" spans="1:15">
      <c r="A70" s="5">
        <v>45023</v>
      </c>
      <c r="B70" s="4">
        <v>107</v>
      </c>
      <c r="C70" s="4">
        <v>87300</v>
      </c>
      <c r="D70" s="4">
        <v>46</v>
      </c>
      <c r="E70" s="4"/>
      <c r="F70" s="4">
        <v>7944</v>
      </c>
      <c r="G70" s="4">
        <v>505</v>
      </c>
      <c r="H70" s="4">
        <v>54</v>
      </c>
      <c r="I70" s="4">
        <v>105</v>
      </c>
      <c r="J70" s="4">
        <v>130</v>
      </c>
      <c r="K70" s="4">
        <v>15</v>
      </c>
      <c r="L70" s="4">
        <v>10</v>
      </c>
      <c r="N70">
        <f t="shared" si="4"/>
        <v>19109</v>
      </c>
      <c r="O70">
        <f t="shared" si="5"/>
        <v>48</v>
      </c>
    </row>
    <row r="71" spans="1:15">
      <c r="A71" s="5">
        <v>45024</v>
      </c>
      <c r="B71" s="4">
        <v>107</v>
      </c>
      <c r="C71" s="4">
        <v>87390</v>
      </c>
      <c r="D71" s="4">
        <v>46</v>
      </c>
      <c r="E71" s="4"/>
      <c r="F71" s="4">
        <v>19778</v>
      </c>
      <c r="G71" s="4">
        <v>1490</v>
      </c>
      <c r="H71" s="4">
        <v>156</v>
      </c>
      <c r="I71" s="4">
        <v>274</v>
      </c>
      <c r="J71" s="4">
        <v>331</v>
      </c>
      <c r="K71" s="4">
        <v>39</v>
      </c>
      <c r="L71" s="4">
        <v>30</v>
      </c>
      <c r="N71">
        <f t="shared" si="4"/>
        <v>49798</v>
      </c>
      <c r="O71">
        <f t="shared" si="5"/>
        <v>90</v>
      </c>
    </row>
    <row r="72" spans="1:15">
      <c r="A72" s="5">
        <v>45025</v>
      </c>
      <c r="B72" s="4">
        <v>107</v>
      </c>
      <c r="C72" s="4">
        <v>87528</v>
      </c>
      <c r="D72" s="4">
        <v>46</v>
      </c>
      <c r="E72" s="4"/>
      <c r="F72" s="4">
        <v>11257</v>
      </c>
      <c r="G72" s="4">
        <v>821</v>
      </c>
      <c r="H72" s="4">
        <v>66</v>
      </c>
      <c r="I72" s="4">
        <v>151</v>
      </c>
      <c r="J72" s="4">
        <v>163</v>
      </c>
      <c r="K72" s="4">
        <v>12</v>
      </c>
      <c r="L72" s="4">
        <v>4</v>
      </c>
      <c r="N72">
        <f t="shared" si="4"/>
        <v>26992</v>
      </c>
      <c r="O72">
        <f t="shared" si="5"/>
        <v>138</v>
      </c>
    </row>
    <row r="73" spans="1:15">
      <c r="A73" s="5">
        <v>45026</v>
      </c>
      <c r="B73" s="4">
        <v>108</v>
      </c>
      <c r="C73" s="4">
        <v>87621</v>
      </c>
      <c r="D73" s="4">
        <v>47</v>
      </c>
      <c r="E73" s="4"/>
      <c r="F73" s="4">
        <v>7117</v>
      </c>
      <c r="G73" s="4">
        <v>495</v>
      </c>
      <c r="H73" s="4">
        <v>50</v>
      </c>
      <c r="I73" s="4">
        <v>113</v>
      </c>
      <c r="J73" s="4">
        <v>103</v>
      </c>
      <c r="K73" s="4">
        <v>12</v>
      </c>
      <c r="L73" s="4">
        <v>60</v>
      </c>
      <c r="N73">
        <f t="shared" si="4"/>
        <v>18522</v>
      </c>
      <c r="O73">
        <f t="shared" si="5"/>
        <v>93</v>
      </c>
    </row>
    <row r="74" spans="1:15">
      <c r="A74" s="5">
        <v>45027</v>
      </c>
      <c r="B74" s="4">
        <v>108</v>
      </c>
      <c r="C74" s="4">
        <v>87655</v>
      </c>
      <c r="D74" s="4">
        <v>47</v>
      </c>
      <c r="E74" s="4"/>
      <c r="F74" s="4">
        <v>10838</v>
      </c>
      <c r="G74" s="4">
        <v>625</v>
      </c>
      <c r="H74" s="4">
        <v>62</v>
      </c>
      <c r="I74" s="4">
        <v>122</v>
      </c>
      <c r="J74" s="4">
        <v>142</v>
      </c>
      <c r="K74" s="4">
        <v>16</v>
      </c>
      <c r="L74" s="4">
        <v>10</v>
      </c>
      <c r="N74">
        <f t="shared" si="4"/>
        <v>23783</v>
      </c>
      <c r="O74">
        <f t="shared" si="5"/>
        <v>34</v>
      </c>
    </row>
    <row r="75" spans="1:15">
      <c r="A75" s="5">
        <v>45028</v>
      </c>
      <c r="B75" s="4">
        <v>108</v>
      </c>
      <c r="C75" s="4">
        <v>87711</v>
      </c>
      <c r="D75" s="4">
        <v>47</v>
      </c>
      <c r="E75" s="4"/>
      <c r="F75" s="4">
        <v>7409</v>
      </c>
      <c r="G75" s="4">
        <v>429</v>
      </c>
      <c r="H75" s="4">
        <v>43</v>
      </c>
      <c r="I75" s="4">
        <v>88</v>
      </c>
      <c r="J75" s="4">
        <v>84</v>
      </c>
      <c r="K75" s="4">
        <v>12</v>
      </c>
      <c r="L75" s="4">
        <v>11</v>
      </c>
      <c r="N75">
        <f t="shared" si="4"/>
        <v>16294</v>
      </c>
      <c r="O75">
        <f t="shared" si="5"/>
        <v>56</v>
      </c>
    </row>
    <row r="76" spans="1:15">
      <c r="A76" s="5">
        <v>45029</v>
      </c>
      <c r="B76" s="4">
        <v>108</v>
      </c>
      <c r="C76" s="4">
        <v>87750</v>
      </c>
      <c r="D76" s="4">
        <v>47</v>
      </c>
      <c r="E76" s="4"/>
      <c r="F76" s="4">
        <v>6048</v>
      </c>
      <c r="G76" s="4">
        <v>328</v>
      </c>
      <c r="H76" s="4">
        <v>42</v>
      </c>
      <c r="I76" s="4">
        <v>56</v>
      </c>
      <c r="J76" s="4">
        <v>77</v>
      </c>
      <c r="K76" s="4">
        <v>7</v>
      </c>
      <c r="L76" s="4">
        <v>9</v>
      </c>
      <c r="N76">
        <f t="shared" si="4"/>
        <v>12608</v>
      </c>
      <c r="O76">
        <f t="shared" si="5"/>
        <v>39</v>
      </c>
    </row>
    <row r="77" spans="1:15">
      <c r="A77" s="5">
        <v>45030</v>
      </c>
      <c r="B77" s="4">
        <v>108</v>
      </c>
      <c r="C77" s="4">
        <v>87779</v>
      </c>
      <c r="D77" s="4">
        <v>47</v>
      </c>
      <c r="E77" s="4"/>
      <c r="F77" s="4">
        <v>4964</v>
      </c>
      <c r="G77" s="4">
        <v>265</v>
      </c>
      <c r="H77" s="4">
        <v>23</v>
      </c>
      <c r="I77" s="4">
        <v>46</v>
      </c>
      <c r="J77" s="4">
        <v>61</v>
      </c>
      <c r="K77" s="4">
        <v>2</v>
      </c>
      <c r="L77" s="4">
        <v>2</v>
      </c>
      <c r="N77">
        <f t="shared" si="4"/>
        <v>10079</v>
      </c>
      <c r="O77">
        <f t="shared" si="5"/>
        <v>29</v>
      </c>
    </row>
    <row r="78" spans="1:15">
      <c r="A78" s="5">
        <v>45031</v>
      </c>
      <c r="B78" s="4">
        <v>108</v>
      </c>
      <c r="C78" s="4">
        <v>87824</v>
      </c>
      <c r="D78" s="4">
        <v>47</v>
      </c>
      <c r="E78" s="4"/>
      <c r="F78" s="4">
        <v>5040</v>
      </c>
      <c r="G78" s="4">
        <v>274</v>
      </c>
      <c r="H78" s="4">
        <v>22</v>
      </c>
      <c r="I78" s="4">
        <v>48</v>
      </c>
      <c r="J78" s="4">
        <v>61</v>
      </c>
      <c r="K78" s="4">
        <v>5</v>
      </c>
      <c r="L78" s="4">
        <v>1</v>
      </c>
      <c r="N78">
        <f t="shared" si="4"/>
        <v>10310</v>
      </c>
      <c r="O78">
        <f t="shared" si="5"/>
        <v>45</v>
      </c>
    </row>
    <row r="79" spans="1:15">
      <c r="A79" s="5">
        <v>45032</v>
      </c>
      <c r="B79" s="4">
        <v>108</v>
      </c>
      <c r="C79" s="4">
        <v>87897</v>
      </c>
      <c r="D79" s="4">
        <v>47</v>
      </c>
      <c r="E79" s="4"/>
      <c r="F79" s="4">
        <v>5422</v>
      </c>
      <c r="G79" s="4">
        <v>325</v>
      </c>
      <c r="H79" s="4">
        <v>30</v>
      </c>
      <c r="I79" s="4">
        <v>77</v>
      </c>
      <c r="J79" s="4">
        <v>87</v>
      </c>
      <c r="K79" s="4">
        <v>9</v>
      </c>
      <c r="L79" s="4">
        <v>2</v>
      </c>
      <c r="N79">
        <f t="shared" si="4"/>
        <v>13047</v>
      </c>
      <c r="O79">
        <f t="shared" si="5"/>
        <v>73</v>
      </c>
    </row>
    <row r="80" spans="1:15">
      <c r="A80" s="5">
        <v>45033</v>
      </c>
      <c r="B80" s="4">
        <v>108</v>
      </c>
      <c r="C80" s="4">
        <v>87966</v>
      </c>
      <c r="D80" s="4">
        <v>47</v>
      </c>
      <c r="E80" s="4"/>
      <c r="F80" s="4">
        <v>5657</v>
      </c>
      <c r="G80" s="4">
        <v>329</v>
      </c>
      <c r="H80" s="4">
        <v>41</v>
      </c>
      <c r="I80" s="4">
        <v>77</v>
      </c>
      <c r="J80" s="4">
        <v>61</v>
      </c>
      <c r="K80" s="4">
        <v>9</v>
      </c>
      <c r="L80" s="4">
        <v>7</v>
      </c>
      <c r="N80">
        <f t="shared" si="4"/>
        <v>12942</v>
      </c>
      <c r="O80">
        <f t="shared" si="5"/>
        <v>69</v>
      </c>
    </row>
    <row r="81" spans="1:15">
      <c r="A81" s="5">
        <v>45034</v>
      </c>
      <c r="B81" s="4">
        <v>109</v>
      </c>
      <c r="C81" s="4">
        <v>88028</v>
      </c>
      <c r="D81" s="4">
        <v>47</v>
      </c>
      <c r="E81" s="4"/>
      <c r="F81" s="4">
        <v>3505</v>
      </c>
      <c r="G81" s="4">
        <v>169</v>
      </c>
      <c r="H81" s="4">
        <v>23</v>
      </c>
      <c r="I81" s="4">
        <v>33</v>
      </c>
      <c r="J81" s="4">
        <v>36</v>
      </c>
      <c r="K81" s="4">
        <v>6</v>
      </c>
      <c r="L81" s="4">
        <v>0</v>
      </c>
      <c r="N81">
        <f t="shared" si="4"/>
        <v>7010</v>
      </c>
      <c r="O81">
        <f t="shared" si="5"/>
        <v>62</v>
      </c>
    </row>
    <row r="82" spans="1:15">
      <c r="A82" s="5">
        <v>45035</v>
      </c>
      <c r="B82" s="4">
        <v>109</v>
      </c>
      <c r="C82" s="4">
        <v>88092</v>
      </c>
      <c r="D82" s="4">
        <v>47</v>
      </c>
      <c r="E82" s="4"/>
      <c r="F82" s="4">
        <v>33490</v>
      </c>
      <c r="G82" s="4">
        <v>1216</v>
      </c>
      <c r="H82" s="4">
        <v>867</v>
      </c>
      <c r="I82" s="4">
        <v>125</v>
      </c>
      <c r="J82" s="4">
        <v>215</v>
      </c>
      <c r="K82" s="4">
        <v>119</v>
      </c>
      <c r="L82" s="4">
        <v>129</v>
      </c>
      <c r="N82">
        <f t="shared" si="4"/>
        <v>61270</v>
      </c>
      <c r="O82">
        <f t="shared" si="5"/>
        <v>64</v>
      </c>
    </row>
    <row r="83" spans="1:15">
      <c r="A83" s="5">
        <v>45036</v>
      </c>
      <c r="B83" s="4">
        <v>109</v>
      </c>
      <c r="C83" s="4">
        <v>88323</v>
      </c>
      <c r="D83" s="4">
        <v>47</v>
      </c>
      <c r="E83" s="4"/>
      <c r="F83" s="4">
        <v>132162</v>
      </c>
      <c r="G83" s="4">
        <v>4991</v>
      </c>
      <c r="H83" s="4">
        <v>2493</v>
      </c>
      <c r="I83" s="4">
        <v>414</v>
      </c>
      <c r="J83" s="4">
        <v>384</v>
      </c>
      <c r="K83" s="4">
        <v>270</v>
      </c>
      <c r="L83" s="4">
        <v>82</v>
      </c>
      <c r="N83">
        <f t="shared" si="4"/>
        <v>213947</v>
      </c>
      <c r="O83">
        <f t="shared" si="5"/>
        <v>231</v>
      </c>
    </row>
    <row r="84" spans="1:15">
      <c r="A84" s="5">
        <v>45037</v>
      </c>
      <c r="B84" s="4">
        <v>109</v>
      </c>
      <c r="C84" s="4">
        <v>88519</v>
      </c>
      <c r="D84" s="4">
        <v>47</v>
      </c>
      <c r="E84" s="4"/>
      <c r="F84" s="4">
        <v>73260</v>
      </c>
      <c r="G84" s="4">
        <v>2971</v>
      </c>
      <c r="H84" s="4">
        <v>1488</v>
      </c>
      <c r="I84" s="4">
        <v>266</v>
      </c>
      <c r="J84" s="4">
        <v>271</v>
      </c>
      <c r="K84" s="4">
        <v>138</v>
      </c>
      <c r="L84" s="4">
        <v>37</v>
      </c>
      <c r="N84">
        <f t="shared" si="4"/>
        <v>123465</v>
      </c>
      <c r="O84">
        <f t="shared" si="5"/>
        <v>196</v>
      </c>
    </row>
    <row r="85" spans="1:15">
      <c r="A85" s="5">
        <v>45038</v>
      </c>
      <c r="B85" s="4">
        <v>110</v>
      </c>
      <c r="C85" s="4">
        <v>88669</v>
      </c>
      <c r="D85" s="4">
        <v>47</v>
      </c>
      <c r="E85" s="4"/>
      <c r="F85" s="4">
        <v>18917</v>
      </c>
      <c r="G85" s="4">
        <v>1202</v>
      </c>
      <c r="H85" s="4">
        <v>291</v>
      </c>
      <c r="I85" s="4">
        <v>99</v>
      </c>
      <c r="J85" s="4">
        <v>67</v>
      </c>
      <c r="K85" s="4">
        <v>49</v>
      </c>
      <c r="L85" s="4">
        <v>13</v>
      </c>
      <c r="N85">
        <f t="shared" si="4"/>
        <v>34747</v>
      </c>
      <c r="O85">
        <f t="shared" si="5"/>
        <v>150</v>
      </c>
    </row>
    <row r="86" spans="1:15">
      <c r="A86" s="5">
        <v>45039</v>
      </c>
      <c r="B86" s="4">
        <v>110</v>
      </c>
      <c r="C86" s="4">
        <v>88897</v>
      </c>
      <c r="D86" s="4">
        <v>47</v>
      </c>
      <c r="E86" s="4"/>
      <c r="F86" s="4">
        <v>74691</v>
      </c>
      <c r="G86" s="4">
        <v>15167</v>
      </c>
      <c r="H86" s="4">
        <v>659</v>
      </c>
      <c r="I86" s="4">
        <v>632</v>
      </c>
      <c r="J86" s="4">
        <v>730</v>
      </c>
      <c r="K86" s="4">
        <v>470</v>
      </c>
      <c r="L86" s="4">
        <v>61</v>
      </c>
      <c r="N86">
        <f t="shared" si="4"/>
        <v>208626</v>
      </c>
      <c r="O86">
        <f t="shared" si="5"/>
        <v>228</v>
      </c>
    </row>
    <row r="87" spans="1:15">
      <c r="A87" s="5">
        <v>45040</v>
      </c>
      <c r="B87" s="4">
        <v>110</v>
      </c>
      <c r="C87" s="4">
        <v>89050</v>
      </c>
      <c r="D87" s="4">
        <v>47</v>
      </c>
      <c r="E87" s="4"/>
      <c r="F87" s="4">
        <v>21409</v>
      </c>
      <c r="G87" s="4">
        <v>2378</v>
      </c>
      <c r="H87" s="4">
        <v>225</v>
      </c>
      <c r="I87" s="4">
        <v>202</v>
      </c>
      <c r="J87" s="4">
        <v>207</v>
      </c>
      <c r="K87" s="4">
        <v>-5</v>
      </c>
      <c r="L87" s="4">
        <v>36</v>
      </c>
      <c r="N87">
        <f t="shared" si="4"/>
        <v>50099</v>
      </c>
      <c r="O87">
        <f t="shared" si="5"/>
        <v>153</v>
      </c>
    </row>
    <row r="88" spans="1:15">
      <c r="A88" s="5">
        <v>45041</v>
      </c>
      <c r="B88" s="4">
        <v>110</v>
      </c>
      <c r="C88" s="4">
        <v>89155</v>
      </c>
      <c r="D88" s="4">
        <v>47</v>
      </c>
      <c r="E88" s="4"/>
      <c r="F88" s="4">
        <v>9842</v>
      </c>
      <c r="G88" s="4">
        <v>674</v>
      </c>
      <c r="H88" s="4">
        <v>142</v>
      </c>
      <c r="I88" s="4">
        <v>81</v>
      </c>
      <c r="J88" s="4">
        <v>84</v>
      </c>
      <c r="K88" s="4">
        <v>28</v>
      </c>
      <c r="L88" s="4">
        <v>9</v>
      </c>
      <c r="N88">
        <f t="shared" si="4"/>
        <v>20732</v>
      </c>
      <c r="O88">
        <f t="shared" si="5"/>
        <v>105</v>
      </c>
    </row>
    <row r="89" spans="1:15">
      <c r="A89" s="5">
        <v>45042</v>
      </c>
      <c r="B89" s="4">
        <v>110</v>
      </c>
      <c r="C89" s="4">
        <v>89231</v>
      </c>
      <c r="D89" s="4">
        <v>47</v>
      </c>
      <c r="E89" s="4"/>
      <c r="F89" s="4">
        <v>8873</v>
      </c>
      <c r="G89" s="4">
        <v>417</v>
      </c>
      <c r="H89" s="4">
        <v>118</v>
      </c>
      <c r="I89" s="4">
        <v>50</v>
      </c>
      <c r="J89" s="4">
        <v>52</v>
      </c>
      <c r="K89" s="4">
        <v>23</v>
      </c>
      <c r="L89" s="4">
        <v>10</v>
      </c>
      <c r="N89">
        <f t="shared" si="4"/>
        <v>16008</v>
      </c>
      <c r="O89">
        <f t="shared" si="5"/>
        <v>76</v>
      </c>
    </row>
    <row r="90" spans="1:15">
      <c r="A90" s="5">
        <v>45043</v>
      </c>
      <c r="B90" s="4">
        <v>110</v>
      </c>
      <c r="C90" s="4">
        <v>89325</v>
      </c>
      <c r="D90" s="4">
        <v>47</v>
      </c>
      <c r="E90" s="4"/>
      <c r="F90" s="4">
        <v>9056</v>
      </c>
      <c r="G90" s="4">
        <v>548</v>
      </c>
      <c r="H90" s="4">
        <v>139</v>
      </c>
      <c r="I90" s="4">
        <v>61</v>
      </c>
      <c r="J90" s="4">
        <v>37</v>
      </c>
      <c r="K90" s="4">
        <v>22</v>
      </c>
      <c r="L90" s="4">
        <v>5</v>
      </c>
      <c r="N90">
        <f t="shared" si="4"/>
        <v>17246</v>
      </c>
      <c r="O90">
        <f t="shared" si="5"/>
        <v>94</v>
      </c>
    </row>
    <row r="91" spans="1:15">
      <c r="A91" s="5">
        <v>45044</v>
      </c>
      <c r="B91" s="4">
        <v>111</v>
      </c>
      <c r="C91" s="4">
        <v>89418</v>
      </c>
      <c r="D91" s="4">
        <v>47</v>
      </c>
      <c r="E91" s="4"/>
      <c r="F91" s="4">
        <v>6620</v>
      </c>
      <c r="G91" s="4">
        <v>288</v>
      </c>
      <c r="H91" s="4">
        <v>103</v>
      </c>
      <c r="I91" s="4">
        <v>37</v>
      </c>
      <c r="J91" s="4">
        <v>27</v>
      </c>
      <c r="K91" s="4">
        <v>12</v>
      </c>
      <c r="L91" s="4">
        <v>7</v>
      </c>
      <c r="N91">
        <f t="shared" si="4"/>
        <v>11670</v>
      </c>
      <c r="O91">
        <f t="shared" si="5"/>
        <v>93</v>
      </c>
    </row>
    <row r="92" spans="1:15">
      <c r="A92" s="5">
        <v>45045</v>
      </c>
      <c r="B92" s="4">
        <v>111</v>
      </c>
      <c r="C92" s="4">
        <v>89525</v>
      </c>
      <c r="D92" s="4">
        <v>47</v>
      </c>
      <c r="E92" s="4"/>
      <c r="F92" s="4">
        <v>9922</v>
      </c>
      <c r="G92" s="4">
        <v>564</v>
      </c>
      <c r="H92" s="4">
        <v>100</v>
      </c>
      <c r="I92" s="4">
        <v>67</v>
      </c>
      <c r="J92" s="4">
        <v>64</v>
      </c>
      <c r="K92" s="4">
        <v>28</v>
      </c>
      <c r="L92" s="4">
        <v>5</v>
      </c>
      <c r="N92">
        <f t="shared" si="4"/>
        <v>18702</v>
      </c>
      <c r="O92">
        <f t="shared" si="5"/>
        <v>107</v>
      </c>
    </row>
    <row r="93" spans="1:15">
      <c r="A93" s="5">
        <v>45046</v>
      </c>
      <c r="B93" s="4">
        <v>112</v>
      </c>
      <c r="C93" s="4">
        <v>89755</v>
      </c>
      <c r="D93" s="4">
        <v>47</v>
      </c>
      <c r="E93" s="4"/>
      <c r="F93" s="4">
        <v>5379</v>
      </c>
      <c r="G93" s="4">
        <v>427</v>
      </c>
      <c r="H93" s="4">
        <v>28</v>
      </c>
      <c r="I93" s="4">
        <v>41</v>
      </c>
      <c r="J93" s="4">
        <v>24</v>
      </c>
      <c r="K93" s="4">
        <v>26</v>
      </c>
      <c r="L93" s="4">
        <v>0</v>
      </c>
      <c r="N93">
        <f t="shared" si="4"/>
        <v>10584</v>
      </c>
      <c r="O93">
        <f t="shared" si="5"/>
        <v>230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8"/>
  <sheetViews>
    <sheetView tabSelected="1" workbookViewId="0">
      <selection activeCell="L2" sqref="L2"/>
    </sheetView>
  </sheetViews>
  <sheetFormatPr defaultColWidth="9" defaultRowHeight="14.4"/>
  <cols>
    <col min="2" max="2" width="14.5555555555556" customWidth="1"/>
  </cols>
  <sheetData>
    <row r="1" spans="1:1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t="s">
        <v>11</v>
      </c>
    </row>
    <row r="2" spans="1:12">
      <c r="A2" s="1">
        <v>1</v>
      </c>
      <c r="B2" s="1" t="s">
        <v>24</v>
      </c>
      <c r="C2" s="1" t="s">
        <v>25</v>
      </c>
      <c r="D2" s="1" t="s">
        <v>26</v>
      </c>
      <c r="E2" s="1">
        <v>329500</v>
      </c>
      <c r="F2" s="1">
        <v>1801</v>
      </c>
      <c r="G2" s="1">
        <v>16500</v>
      </c>
      <c r="H2" s="1">
        <v>5056</v>
      </c>
      <c r="I2" s="1">
        <v>716</v>
      </c>
      <c r="J2" s="1">
        <v>3934</v>
      </c>
      <c r="K2" s="1">
        <v>9048</v>
      </c>
      <c r="L2">
        <f>E2+G2*5+F2*10+K2*20+I2*10+J2*10+H2*50</f>
        <v>910270</v>
      </c>
    </row>
    <row r="3" spans="1:12">
      <c r="A3" s="1">
        <v>2</v>
      </c>
      <c r="B3" s="1" t="s">
        <v>27</v>
      </c>
      <c r="C3" s="1" t="s">
        <v>25</v>
      </c>
      <c r="D3" s="1" t="s">
        <v>28</v>
      </c>
      <c r="E3" s="1">
        <v>293800</v>
      </c>
      <c r="F3" s="1">
        <v>284</v>
      </c>
      <c r="G3" s="1">
        <v>13000</v>
      </c>
      <c r="H3" s="1">
        <v>1052</v>
      </c>
      <c r="I3" s="1">
        <v>658</v>
      </c>
      <c r="J3" s="1">
        <v>5979</v>
      </c>
      <c r="K3" s="1">
        <v>1000</v>
      </c>
      <c r="L3">
        <f t="shared" ref="L3:L34" si="0">E3+G3*5+F3*10+K3*20+I3*10+J3*10+H3*50</f>
        <v>500610</v>
      </c>
    </row>
    <row r="4" spans="1:12">
      <c r="A4" s="1">
        <v>3</v>
      </c>
      <c r="B4" s="1" t="s">
        <v>29</v>
      </c>
      <c r="C4" s="1" t="s">
        <v>30</v>
      </c>
      <c r="D4" s="1" t="s">
        <v>31</v>
      </c>
      <c r="E4" s="1">
        <v>273400</v>
      </c>
      <c r="F4" s="1">
        <v>603</v>
      </c>
      <c r="G4" s="1">
        <v>21900</v>
      </c>
      <c r="H4" s="1">
        <v>4430</v>
      </c>
      <c r="I4" s="1">
        <v>748</v>
      </c>
      <c r="J4" s="1">
        <v>2898</v>
      </c>
      <c r="K4" s="1">
        <v>5064</v>
      </c>
      <c r="L4">
        <f t="shared" si="0"/>
        <v>748170</v>
      </c>
    </row>
    <row r="5" spans="1:12">
      <c r="A5" s="1">
        <v>4</v>
      </c>
      <c r="B5" s="1" t="s">
        <v>32</v>
      </c>
      <c r="C5" s="1" t="s">
        <v>33</v>
      </c>
      <c r="D5" s="1" t="s">
        <v>34</v>
      </c>
      <c r="E5" s="1">
        <v>237300</v>
      </c>
      <c r="F5" s="1">
        <v>4167</v>
      </c>
      <c r="G5" s="1">
        <v>12900</v>
      </c>
      <c r="H5" s="1">
        <v>1218</v>
      </c>
      <c r="I5" s="1">
        <v>472</v>
      </c>
      <c r="J5" s="1">
        <v>546</v>
      </c>
      <c r="K5" s="1">
        <v>1159</v>
      </c>
      <c r="L5">
        <f t="shared" si="0"/>
        <v>437730</v>
      </c>
    </row>
    <row r="6" spans="1:12">
      <c r="A6" s="1">
        <v>5</v>
      </c>
      <c r="B6" s="1" t="s">
        <v>35</v>
      </c>
      <c r="C6" s="1" t="s">
        <v>30</v>
      </c>
      <c r="D6" s="1" t="s">
        <v>36</v>
      </c>
      <c r="E6" s="1">
        <v>155000</v>
      </c>
      <c r="F6" s="1">
        <v>158</v>
      </c>
      <c r="G6" s="1">
        <v>5511</v>
      </c>
      <c r="H6" s="1">
        <v>785</v>
      </c>
      <c r="I6" s="1">
        <v>289</v>
      </c>
      <c r="J6" s="1">
        <v>1413</v>
      </c>
      <c r="K6" s="1">
        <v>918</v>
      </c>
      <c r="L6">
        <f t="shared" si="0"/>
        <v>258765</v>
      </c>
    </row>
    <row r="7" spans="1:12">
      <c r="A7" s="1">
        <v>6</v>
      </c>
      <c r="B7" s="1" t="s">
        <v>37</v>
      </c>
      <c r="C7" s="1" t="s">
        <v>25</v>
      </c>
      <c r="D7" s="1" t="s">
        <v>38</v>
      </c>
      <c r="E7" s="1">
        <v>103000</v>
      </c>
      <c r="F7" s="1">
        <v>828</v>
      </c>
      <c r="G7" s="1">
        <v>4805</v>
      </c>
      <c r="H7" s="1">
        <v>1428</v>
      </c>
      <c r="I7" s="1">
        <v>764</v>
      </c>
      <c r="J7" s="1">
        <v>1241</v>
      </c>
      <c r="K7" s="1">
        <v>2154</v>
      </c>
      <c r="L7">
        <f t="shared" si="0"/>
        <v>269835</v>
      </c>
    </row>
    <row r="8" spans="1:12">
      <c r="A8" s="1">
        <v>7</v>
      </c>
      <c r="B8" s="1" t="s">
        <v>39</v>
      </c>
      <c r="C8" s="1" t="s">
        <v>25</v>
      </c>
      <c r="D8" s="1" t="s">
        <v>40</v>
      </c>
      <c r="E8" s="1">
        <v>63100</v>
      </c>
      <c r="F8" s="1">
        <v>303</v>
      </c>
      <c r="G8" s="1">
        <v>2894</v>
      </c>
      <c r="H8" s="1">
        <v>637</v>
      </c>
      <c r="I8" s="1">
        <v>496</v>
      </c>
      <c r="J8" s="1">
        <v>718</v>
      </c>
      <c r="K8" s="1">
        <v>1234</v>
      </c>
      <c r="L8">
        <f t="shared" si="0"/>
        <v>149270</v>
      </c>
    </row>
    <row r="9" spans="1:12">
      <c r="A9" s="1">
        <v>8</v>
      </c>
      <c r="B9" s="1" t="s">
        <v>41</v>
      </c>
      <c r="C9" s="1" t="s">
        <v>30</v>
      </c>
      <c r="D9" s="1" t="s">
        <v>42</v>
      </c>
      <c r="E9" s="1">
        <v>46900</v>
      </c>
      <c r="F9" s="1">
        <v>191</v>
      </c>
      <c r="G9" s="1">
        <v>1810</v>
      </c>
      <c r="H9" s="1">
        <v>240</v>
      </c>
      <c r="I9" s="1">
        <v>79</v>
      </c>
      <c r="J9" s="1">
        <v>400</v>
      </c>
      <c r="K9" s="1">
        <v>488</v>
      </c>
      <c r="L9">
        <f t="shared" si="0"/>
        <v>84410</v>
      </c>
    </row>
    <row r="10" spans="1:12">
      <c r="A10" s="1">
        <v>9</v>
      </c>
      <c r="B10" s="1" t="s">
        <v>43</v>
      </c>
      <c r="C10" s="1" t="s">
        <v>25</v>
      </c>
      <c r="D10" s="1" t="s">
        <v>44</v>
      </c>
      <c r="E10" s="1">
        <v>46400</v>
      </c>
      <c r="F10" s="1">
        <v>213</v>
      </c>
      <c r="G10" s="1">
        <v>1121</v>
      </c>
      <c r="H10" s="1">
        <v>319</v>
      </c>
      <c r="I10" s="1">
        <v>208</v>
      </c>
      <c r="J10" s="1">
        <v>168</v>
      </c>
      <c r="K10" s="1">
        <v>609</v>
      </c>
      <c r="L10">
        <f t="shared" si="0"/>
        <v>86025</v>
      </c>
    </row>
    <row r="11" spans="1:12">
      <c r="A11" s="1">
        <v>10</v>
      </c>
      <c r="B11" s="1" t="s">
        <v>45</v>
      </c>
      <c r="C11" s="1" t="s">
        <v>25</v>
      </c>
      <c r="D11" s="1" t="s">
        <v>46</v>
      </c>
      <c r="E11" s="1">
        <v>45000</v>
      </c>
      <c r="F11" s="1">
        <v>156</v>
      </c>
      <c r="G11" s="1">
        <v>1569</v>
      </c>
      <c r="H11" s="1">
        <v>367</v>
      </c>
      <c r="I11" s="1">
        <v>218</v>
      </c>
      <c r="J11" s="1">
        <v>495</v>
      </c>
      <c r="K11" s="1">
        <v>564</v>
      </c>
      <c r="L11">
        <f t="shared" si="0"/>
        <v>91165</v>
      </c>
    </row>
    <row r="12" spans="1:12">
      <c r="A12" s="1">
        <v>11</v>
      </c>
      <c r="B12" s="1" t="s">
        <v>47</v>
      </c>
      <c r="C12" s="1" t="s">
        <v>33</v>
      </c>
      <c r="D12" s="1" t="s">
        <v>48</v>
      </c>
      <c r="E12" s="1">
        <v>38900</v>
      </c>
      <c r="F12" s="1">
        <v>31</v>
      </c>
      <c r="G12" s="1">
        <v>1492</v>
      </c>
      <c r="H12" s="1">
        <v>337</v>
      </c>
      <c r="I12" s="1">
        <v>0</v>
      </c>
      <c r="J12" s="1">
        <v>58</v>
      </c>
      <c r="K12" s="1">
        <v>139</v>
      </c>
      <c r="L12">
        <f t="shared" si="0"/>
        <v>66880</v>
      </c>
    </row>
    <row r="13" spans="1:12">
      <c r="A13" s="1">
        <v>12</v>
      </c>
      <c r="B13" s="1" t="s">
        <v>49</v>
      </c>
      <c r="C13" s="1" t="s">
        <v>25</v>
      </c>
      <c r="D13" s="1" t="s">
        <v>50</v>
      </c>
      <c r="E13" s="1">
        <v>34800</v>
      </c>
      <c r="F13" s="1">
        <v>340</v>
      </c>
      <c r="G13" s="1">
        <v>1911</v>
      </c>
      <c r="H13" s="1">
        <v>743</v>
      </c>
      <c r="I13" s="1">
        <v>178</v>
      </c>
      <c r="J13" s="1">
        <v>316</v>
      </c>
      <c r="K13" s="1">
        <v>625</v>
      </c>
      <c r="L13">
        <f t="shared" si="0"/>
        <v>102345</v>
      </c>
    </row>
    <row r="14" spans="1:12">
      <c r="A14" s="1">
        <v>13</v>
      </c>
      <c r="B14" s="1" t="s">
        <v>51</v>
      </c>
      <c r="C14" s="1" t="s">
        <v>25</v>
      </c>
      <c r="D14" s="1" t="s">
        <v>52</v>
      </c>
      <c r="E14" s="1">
        <v>32500</v>
      </c>
      <c r="F14" s="1">
        <v>48</v>
      </c>
      <c r="G14" s="1">
        <v>1594</v>
      </c>
      <c r="H14" s="1">
        <v>297</v>
      </c>
      <c r="I14" s="1">
        <v>294</v>
      </c>
      <c r="J14" s="1">
        <v>284</v>
      </c>
      <c r="K14" s="1">
        <v>527</v>
      </c>
      <c r="L14">
        <f t="shared" si="0"/>
        <v>72120</v>
      </c>
    </row>
    <row r="15" spans="1:12">
      <c r="A15" s="1">
        <v>14</v>
      </c>
      <c r="B15" s="1" t="s">
        <v>53</v>
      </c>
      <c r="C15" s="1" t="s">
        <v>25</v>
      </c>
      <c r="D15" s="1" t="s">
        <v>54</v>
      </c>
      <c r="E15" s="1">
        <v>29600</v>
      </c>
      <c r="F15" s="1">
        <v>218</v>
      </c>
      <c r="G15" s="1">
        <v>794</v>
      </c>
      <c r="H15" s="1">
        <v>553</v>
      </c>
      <c r="I15" s="1">
        <v>271</v>
      </c>
      <c r="J15" s="1">
        <v>281</v>
      </c>
      <c r="K15" s="1">
        <v>466</v>
      </c>
      <c r="L15">
        <f t="shared" si="0"/>
        <v>78240</v>
      </c>
    </row>
    <row r="16" spans="1:12">
      <c r="A16" s="1">
        <v>15</v>
      </c>
      <c r="B16" s="1" t="s">
        <v>55</v>
      </c>
      <c r="C16" s="1" t="s">
        <v>25</v>
      </c>
      <c r="D16" s="1" t="s">
        <v>56</v>
      </c>
      <c r="E16" s="1">
        <v>29400</v>
      </c>
      <c r="F16" s="1">
        <v>195</v>
      </c>
      <c r="G16" s="1">
        <v>2047</v>
      </c>
      <c r="H16" s="1">
        <v>498</v>
      </c>
      <c r="I16" s="1">
        <v>77</v>
      </c>
      <c r="J16" s="1">
        <v>370</v>
      </c>
      <c r="K16" s="1">
        <v>892</v>
      </c>
      <c r="L16">
        <f t="shared" si="0"/>
        <v>88795</v>
      </c>
    </row>
    <row r="17" spans="1:12">
      <c r="A17" s="1">
        <v>16</v>
      </c>
      <c r="B17" s="1" t="s">
        <v>57</v>
      </c>
      <c r="C17" s="1" t="s">
        <v>25</v>
      </c>
      <c r="D17" s="1" t="s">
        <v>58</v>
      </c>
      <c r="E17" s="1">
        <v>28800</v>
      </c>
      <c r="F17" s="1">
        <v>42</v>
      </c>
      <c r="G17" s="1">
        <v>2391</v>
      </c>
      <c r="H17" s="1">
        <v>422</v>
      </c>
      <c r="I17" s="1">
        <v>233</v>
      </c>
      <c r="J17" s="1">
        <v>392</v>
      </c>
      <c r="K17" s="1">
        <v>483</v>
      </c>
      <c r="L17">
        <f t="shared" si="0"/>
        <v>78185</v>
      </c>
    </row>
    <row r="18" spans="1:12">
      <c r="A18" s="1">
        <v>17</v>
      </c>
      <c r="B18" s="1" t="s">
        <v>59</v>
      </c>
      <c r="C18" s="1" t="s">
        <v>25</v>
      </c>
      <c r="D18" s="1" t="s">
        <v>60</v>
      </c>
      <c r="E18" s="1">
        <v>24300</v>
      </c>
      <c r="F18" s="1">
        <v>51</v>
      </c>
      <c r="G18" s="1">
        <v>1723</v>
      </c>
      <c r="H18" s="1">
        <v>230</v>
      </c>
      <c r="I18" s="1">
        <v>0</v>
      </c>
      <c r="J18" s="1">
        <v>347</v>
      </c>
      <c r="K18" s="1">
        <v>422</v>
      </c>
      <c r="L18">
        <f t="shared" si="0"/>
        <v>56835</v>
      </c>
    </row>
    <row r="19" spans="1:12">
      <c r="A19" s="1">
        <v>18</v>
      </c>
      <c r="B19" s="1" t="s">
        <v>61</v>
      </c>
      <c r="C19" s="1" t="s">
        <v>62</v>
      </c>
      <c r="D19" s="1" t="s">
        <v>63</v>
      </c>
      <c r="E19" s="1">
        <v>21600</v>
      </c>
      <c r="F19" s="1">
        <v>62</v>
      </c>
      <c r="G19" s="1">
        <v>1636</v>
      </c>
      <c r="H19" s="1">
        <v>184</v>
      </c>
      <c r="I19" s="1">
        <v>116</v>
      </c>
      <c r="J19" s="1">
        <v>172</v>
      </c>
      <c r="K19" s="1">
        <v>382</v>
      </c>
      <c r="L19">
        <f t="shared" si="0"/>
        <v>50120</v>
      </c>
    </row>
    <row r="20" spans="1:12">
      <c r="A20" s="1">
        <v>19</v>
      </c>
      <c r="B20" s="1" t="s">
        <v>64</v>
      </c>
      <c r="C20" s="1" t="s">
        <v>25</v>
      </c>
      <c r="D20" s="1" t="s">
        <v>65</v>
      </c>
      <c r="E20" s="1">
        <v>21000</v>
      </c>
      <c r="F20" s="1">
        <v>29</v>
      </c>
      <c r="G20" s="1">
        <v>713</v>
      </c>
      <c r="H20" s="1">
        <v>257</v>
      </c>
      <c r="I20" s="1">
        <v>70</v>
      </c>
      <c r="J20" s="1">
        <v>136</v>
      </c>
      <c r="K20" s="1">
        <v>216</v>
      </c>
      <c r="L20">
        <f t="shared" si="0"/>
        <v>44085</v>
      </c>
    </row>
    <row r="21" spans="1:12">
      <c r="A21" s="1">
        <v>20</v>
      </c>
      <c r="B21" s="1" t="s">
        <v>66</v>
      </c>
      <c r="C21" s="1" t="s">
        <v>25</v>
      </c>
      <c r="D21" s="1" t="s">
        <v>67</v>
      </c>
      <c r="E21" s="1">
        <v>18900</v>
      </c>
      <c r="F21" s="1">
        <v>16</v>
      </c>
      <c r="G21" s="1">
        <v>467</v>
      </c>
      <c r="H21" s="1">
        <v>23</v>
      </c>
      <c r="I21" s="1">
        <v>129</v>
      </c>
      <c r="J21" s="1">
        <v>25</v>
      </c>
      <c r="K21" s="1">
        <v>52</v>
      </c>
      <c r="L21">
        <f t="shared" si="0"/>
        <v>25125</v>
      </c>
    </row>
    <row r="22" spans="1:12">
      <c r="A22" s="1">
        <v>21</v>
      </c>
      <c r="B22" s="1" t="s">
        <v>68</v>
      </c>
      <c r="C22" s="1" t="s">
        <v>30</v>
      </c>
      <c r="D22" s="1" t="s">
        <v>69</v>
      </c>
      <c r="E22" s="1">
        <v>18700</v>
      </c>
      <c r="F22" s="1">
        <v>68</v>
      </c>
      <c r="G22" s="1">
        <v>617</v>
      </c>
      <c r="H22" s="1">
        <v>191</v>
      </c>
      <c r="I22" s="1">
        <v>71</v>
      </c>
      <c r="J22" s="1">
        <v>363</v>
      </c>
      <c r="K22" s="1">
        <v>197</v>
      </c>
      <c r="L22">
        <f t="shared" si="0"/>
        <v>40295</v>
      </c>
    </row>
    <row r="23" spans="1:12">
      <c r="A23" s="1">
        <v>22</v>
      </c>
      <c r="B23" s="1" t="s">
        <v>70</v>
      </c>
      <c r="C23" s="1" t="s">
        <v>30</v>
      </c>
      <c r="D23" s="1" t="s">
        <v>71</v>
      </c>
      <c r="E23" s="1">
        <v>18200</v>
      </c>
      <c r="F23" s="1">
        <v>147</v>
      </c>
      <c r="G23" s="1">
        <v>1000</v>
      </c>
      <c r="H23" s="1">
        <v>193</v>
      </c>
      <c r="I23" s="1">
        <v>107</v>
      </c>
      <c r="J23" s="1">
        <v>339</v>
      </c>
      <c r="K23" s="1">
        <v>487</v>
      </c>
      <c r="L23">
        <f t="shared" si="0"/>
        <v>48520</v>
      </c>
    </row>
    <row r="24" spans="1:12">
      <c r="A24" s="1">
        <v>23</v>
      </c>
      <c r="B24" s="1" t="s">
        <v>72</v>
      </c>
      <c r="C24" s="1"/>
      <c r="D24" s="1" t="s">
        <v>73</v>
      </c>
      <c r="E24" s="1">
        <v>17300</v>
      </c>
      <c r="F24" s="1">
        <v>35</v>
      </c>
      <c r="G24" s="1">
        <v>993</v>
      </c>
      <c r="H24" s="1">
        <v>234</v>
      </c>
      <c r="I24" s="1">
        <v>130</v>
      </c>
      <c r="J24" s="1">
        <v>173</v>
      </c>
      <c r="K24" s="1">
        <v>412</v>
      </c>
      <c r="L24">
        <f t="shared" si="0"/>
        <v>45585</v>
      </c>
    </row>
    <row r="25" spans="1:12">
      <c r="A25" s="1">
        <v>24</v>
      </c>
      <c r="B25" s="1" t="s">
        <v>74</v>
      </c>
      <c r="C25" s="1" t="s">
        <v>62</v>
      </c>
      <c r="D25" s="1" t="s">
        <v>75</v>
      </c>
      <c r="E25" s="1">
        <v>16000</v>
      </c>
      <c r="F25" s="1">
        <v>24</v>
      </c>
      <c r="G25" s="1">
        <v>1165</v>
      </c>
      <c r="H25" s="1">
        <v>148</v>
      </c>
      <c r="I25" s="1">
        <v>111</v>
      </c>
      <c r="J25" s="1">
        <v>111</v>
      </c>
      <c r="K25" s="1">
        <v>176</v>
      </c>
      <c r="L25">
        <f t="shared" si="0"/>
        <v>35205</v>
      </c>
    </row>
    <row r="26" spans="1:12">
      <c r="A26" s="1">
        <v>25</v>
      </c>
      <c r="B26" s="1" t="s">
        <v>76</v>
      </c>
      <c r="C26" s="1" t="s">
        <v>77</v>
      </c>
      <c r="D26" s="1" t="s">
        <v>78</v>
      </c>
      <c r="E26" s="1">
        <v>15600</v>
      </c>
      <c r="F26" s="1">
        <v>170</v>
      </c>
      <c r="G26" s="1">
        <v>1242</v>
      </c>
      <c r="H26" s="1">
        <v>441</v>
      </c>
      <c r="I26" s="1">
        <v>154</v>
      </c>
      <c r="J26" s="1">
        <v>305</v>
      </c>
      <c r="K26" s="1">
        <v>748</v>
      </c>
      <c r="L26">
        <f t="shared" si="0"/>
        <v>65110</v>
      </c>
    </row>
    <row r="27" spans="1:12">
      <c r="A27" s="1">
        <v>26</v>
      </c>
      <c r="B27" s="1" t="s">
        <v>79</v>
      </c>
      <c r="C27" s="1" t="s">
        <v>77</v>
      </c>
      <c r="D27" s="1" t="s">
        <v>80</v>
      </c>
      <c r="E27" s="1">
        <v>15200</v>
      </c>
      <c r="F27" s="1">
        <v>145</v>
      </c>
      <c r="G27" s="1">
        <v>1629</v>
      </c>
      <c r="H27" s="1">
        <v>416</v>
      </c>
      <c r="I27" s="1">
        <v>205</v>
      </c>
      <c r="J27" s="1">
        <v>178</v>
      </c>
      <c r="K27" s="1">
        <v>512</v>
      </c>
      <c r="L27">
        <f t="shared" si="0"/>
        <v>59665</v>
      </c>
    </row>
    <row r="28" spans="1:12">
      <c r="A28" s="1">
        <v>27</v>
      </c>
      <c r="B28" s="1" t="s">
        <v>81</v>
      </c>
      <c r="C28" s="1" t="s">
        <v>25</v>
      </c>
      <c r="D28" s="1" t="s">
        <v>82</v>
      </c>
      <c r="E28" s="1">
        <v>13800</v>
      </c>
      <c r="F28" s="1">
        <v>57</v>
      </c>
      <c r="G28" s="1">
        <v>612</v>
      </c>
      <c r="H28" s="1">
        <v>210</v>
      </c>
      <c r="I28" s="1">
        <v>74</v>
      </c>
      <c r="J28" s="1">
        <v>80</v>
      </c>
      <c r="K28" s="1">
        <v>260</v>
      </c>
      <c r="L28">
        <f t="shared" si="0"/>
        <v>34670</v>
      </c>
    </row>
    <row r="29" spans="1:12">
      <c r="A29" s="1">
        <v>28</v>
      </c>
      <c r="B29" s="1" t="s">
        <v>83</v>
      </c>
      <c r="C29" s="1" t="s">
        <v>33</v>
      </c>
      <c r="D29" s="1" t="s">
        <v>84</v>
      </c>
      <c r="E29" s="1">
        <v>13400</v>
      </c>
      <c r="F29" s="1">
        <v>1</v>
      </c>
      <c r="G29" s="1">
        <v>430</v>
      </c>
      <c r="H29" s="1">
        <v>256</v>
      </c>
      <c r="I29" s="1">
        <v>48</v>
      </c>
      <c r="J29" s="1">
        <v>32</v>
      </c>
      <c r="K29" s="1">
        <v>146</v>
      </c>
      <c r="L29">
        <f t="shared" si="0"/>
        <v>32080</v>
      </c>
    </row>
    <row r="30" spans="1:12">
      <c r="A30" s="1">
        <v>29</v>
      </c>
      <c r="B30" s="1" t="s">
        <v>85</v>
      </c>
      <c r="C30" s="1" t="s">
        <v>25</v>
      </c>
      <c r="D30" s="1" t="s">
        <v>86</v>
      </c>
      <c r="E30" s="1">
        <v>13300</v>
      </c>
      <c r="F30" s="1">
        <v>34</v>
      </c>
      <c r="G30" s="1">
        <v>721</v>
      </c>
      <c r="H30" s="1">
        <v>128</v>
      </c>
      <c r="I30" s="1">
        <v>141</v>
      </c>
      <c r="J30" s="1">
        <v>84</v>
      </c>
      <c r="K30" s="1">
        <v>172</v>
      </c>
      <c r="L30">
        <f t="shared" si="0"/>
        <v>29335</v>
      </c>
    </row>
    <row r="31" spans="1:12">
      <c r="A31" s="1">
        <v>30</v>
      </c>
      <c r="B31" s="1" t="s">
        <v>87</v>
      </c>
      <c r="C31" s="1" t="s">
        <v>25</v>
      </c>
      <c r="D31" s="1" t="s">
        <v>88</v>
      </c>
      <c r="E31" s="1">
        <v>12100</v>
      </c>
      <c r="F31" s="1">
        <v>39</v>
      </c>
      <c r="G31" s="1">
        <v>342</v>
      </c>
      <c r="H31" s="1">
        <v>32</v>
      </c>
      <c r="I31" s="1">
        <v>35</v>
      </c>
      <c r="J31" s="1">
        <v>41</v>
      </c>
      <c r="K31" s="1">
        <v>72</v>
      </c>
      <c r="L31">
        <f t="shared" si="0"/>
        <v>18000</v>
      </c>
    </row>
    <row r="32" spans="1:12">
      <c r="A32" s="1">
        <v>31</v>
      </c>
      <c r="B32" s="1" t="s">
        <v>89</v>
      </c>
      <c r="C32" s="1" t="s">
        <v>33</v>
      </c>
      <c r="D32" s="1" t="s">
        <v>90</v>
      </c>
      <c r="E32" s="1">
        <v>11300</v>
      </c>
      <c r="F32" s="1">
        <v>19</v>
      </c>
      <c r="G32" s="1">
        <v>501</v>
      </c>
      <c r="H32" s="1">
        <v>120</v>
      </c>
      <c r="I32" s="1">
        <v>66</v>
      </c>
      <c r="J32" s="1">
        <v>102</v>
      </c>
      <c r="K32" s="1">
        <v>159</v>
      </c>
      <c r="L32">
        <f t="shared" si="0"/>
        <v>24855</v>
      </c>
    </row>
    <row r="33" spans="1:12">
      <c r="A33" s="1">
        <v>32</v>
      </c>
      <c r="B33" s="1" t="s">
        <v>91</v>
      </c>
      <c r="C33" s="1" t="s">
        <v>33</v>
      </c>
      <c r="D33" s="1" t="s">
        <v>92</v>
      </c>
      <c r="E33" s="1">
        <v>11000</v>
      </c>
      <c r="F33" s="1">
        <v>108</v>
      </c>
      <c r="G33" s="1">
        <v>595</v>
      </c>
      <c r="H33" s="1">
        <v>72</v>
      </c>
      <c r="I33" s="1">
        <v>113</v>
      </c>
      <c r="J33" s="1">
        <v>113</v>
      </c>
      <c r="K33" s="1">
        <v>125</v>
      </c>
      <c r="L33">
        <f t="shared" si="0"/>
        <v>23415</v>
      </c>
    </row>
    <row r="34" spans="1:12">
      <c r="A34" s="1">
        <v>33</v>
      </c>
      <c r="B34" s="1" t="s">
        <v>93</v>
      </c>
      <c r="C34" s="1" t="s">
        <v>33</v>
      </c>
      <c r="D34" s="1" t="s">
        <v>94</v>
      </c>
      <c r="E34" s="1">
        <v>10800</v>
      </c>
      <c r="F34" s="1">
        <v>17</v>
      </c>
      <c r="G34" s="1">
        <v>955</v>
      </c>
      <c r="H34" s="1">
        <v>161</v>
      </c>
      <c r="I34" s="1">
        <v>156</v>
      </c>
      <c r="J34" s="1">
        <v>176</v>
      </c>
      <c r="K34" s="1">
        <v>240</v>
      </c>
      <c r="L34">
        <f t="shared" si="0"/>
        <v>31915</v>
      </c>
    </row>
    <row r="35" spans="1:12">
      <c r="A35" s="1">
        <v>34</v>
      </c>
      <c r="B35" s="1" t="s">
        <v>95</v>
      </c>
      <c r="C35" s="1" t="s">
        <v>25</v>
      </c>
      <c r="D35" s="1" t="s">
        <v>96</v>
      </c>
      <c r="E35" s="1">
        <v>10500</v>
      </c>
      <c r="F35" s="1">
        <v>184</v>
      </c>
      <c r="G35" s="1">
        <v>156</v>
      </c>
      <c r="H35" s="1">
        <v>231</v>
      </c>
      <c r="I35" s="1">
        <v>103</v>
      </c>
      <c r="J35" s="1">
        <v>136</v>
      </c>
      <c r="K35" s="1">
        <v>201</v>
      </c>
      <c r="L35">
        <f t="shared" ref="L35:L66" si="1">E35+G35*5+F35*10+K35*20+I35*10+J35*10+H35*50</f>
        <v>31080</v>
      </c>
    </row>
    <row r="36" spans="1:12">
      <c r="A36" s="1">
        <v>35</v>
      </c>
      <c r="B36" s="1" t="s">
        <v>97</v>
      </c>
      <c r="C36" s="1" t="s">
        <v>25</v>
      </c>
      <c r="D36" s="1" t="s">
        <v>98</v>
      </c>
      <c r="E36" s="1">
        <v>8810</v>
      </c>
      <c r="F36" s="1">
        <v>13</v>
      </c>
      <c r="G36" s="1">
        <v>558</v>
      </c>
      <c r="H36" s="1">
        <v>122</v>
      </c>
      <c r="I36" s="1">
        <v>80</v>
      </c>
      <c r="J36" s="1">
        <v>119</v>
      </c>
      <c r="K36" s="1">
        <v>224</v>
      </c>
      <c r="L36">
        <f t="shared" si="1"/>
        <v>24300</v>
      </c>
    </row>
    <row r="37" spans="1:12">
      <c r="A37" s="1">
        <v>36</v>
      </c>
      <c r="B37" s="1" t="s">
        <v>99</v>
      </c>
      <c r="C37" s="1" t="s">
        <v>62</v>
      </c>
      <c r="D37" s="1" t="s">
        <v>100</v>
      </c>
      <c r="E37" s="1">
        <v>8609</v>
      </c>
      <c r="F37" s="1">
        <v>3</v>
      </c>
      <c r="G37" s="1">
        <v>200</v>
      </c>
      <c r="H37" s="1">
        <v>49</v>
      </c>
      <c r="I37" s="1">
        <v>25</v>
      </c>
      <c r="J37" s="1">
        <v>10</v>
      </c>
      <c r="K37" s="1">
        <v>56</v>
      </c>
      <c r="L37">
        <f t="shared" si="1"/>
        <v>13559</v>
      </c>
    </row>
    <row r="38" spans="1:12">
      <c r="A38" s="1">
        <v>37</v>
      </c>
      <c r="B38" s="1" t="s">
        <v>101</v>
      </c>
      <c r="C38" s="1"/>
      <c r="D38" s="1" t="s">
        <v>102</v>
      </c>
      <c r="E38" s="1">
        <v>8547</v>
      </c>
      <c r="F38" s="1">
        <v>7</v>
      </c>
      <c r="G38" s="1">
        <v>584</v>
      </c>
      <c r="H38" s="1">
        <v>57</v>
      </c>
      <c r="I38" s="1">
        <v>61</v>
      </c>
      <c r="J38" s="1">
        <v>89</v>
      </c>
      <c r="K38" s="1">
        <v>119</v>
      </c>
      <c r="L38">
        <f t="shared" si="1"/>
        <v>18267</v>
      </c>
    </row>
    <row r="39" spans="1:12">
      <c r="A39" s="1">
        <v>38</v>
      </c>
      <c r="B39" s="1" t="s">
        <v>103</v>
      </c>
      <c r="C39" s="1" t="s">
        <v>62</v>
      </c>
      <c r="D39" s="1" t="s">
        <v>104</v>
      </c>
      <c r="E39" s="1">
        <v>8240</v>
      </c>
      <c r="F39" s="1">
        <v>30</v>
      </c>
      <c r="G39" s="1">
        <v>466</v>
      </c>
      <c r="H39" s="1">
        <v>64</v>
      </c>
      <c r="I39" s="1">
        <v>15</v>
      </c>
      <c r="J39" s="1">
        <v>45</v>
      </c>
      <c r="K39" s="1">
        <v>105</v>
      </c>
      <c r="L39">
        <f t="shared" si="1"/>
        <v>16770</v>
      </c>
    </row>
    <row r="40" spans="1:12">
      <c r="A40" s="1">
        <v>39</v>
      </c>
      <c r="B40" s="1" t="s">
        <v>105</v>
      </c>
      <c r="C40" s="1" t="s">
        <v>25</v>
      </c>
      <c r="D40" s="1" t="s">
        <v>106</v>
      </c>
      <c r="E40" s="1">
        <v>7920</v>
      </c>
      <c r="F40" s="1">
        <v>33</v>
      </c>
      <c r="G40" s="1">
        <v>254</v>
      </c>
      <c r="H40" s="1">
        <v>29</v>
      </c>
      <c r="I40" s="1">
        <v>89</v>
      </c>
      <c r="J40" s="1">
        <v>7</v>
      </c>
      <c r="K40" s="1">
        <v>88</v>
      </c>
      <c r="L40">
        <f t="shared" si="1"/>
        <v>13690</v>
      </c>
    </row>
    <row r="41" spans="1:12">
      <c r="A41" s="1">
        <v>40</v>
      </c>
      <c r="B41" s="1" t="s">
        <v>107</v>
      </c>
      <c r="C41" s="1" t="s">
        <v>30</v>
      </c>
      <c r="D41" s="1" t="s">
        <v>108</v>
      </c>
      <c r="E41" s="1">
        <v>7832</v>
      </c>
      <c r="F41" s="1">
        <v>17</v>
      </c>
      <c r="G41" s="1">
        <v>830</v>
      </c>
      <c r="H41" s="1">
        <v>141</v>
      </c>
      <c r="I41" s="1">
        <v>63</v>
      </c>
      <c r="J41" s="1">
        <v>89</v>
      </c>
      <c r="K41" s="1">
        <v>280</v>
      </c>
      <c r="L41">
        <f t="shared" si="1"/>
        <v>26322</v>
      </c>
    </row>
    <row r="42" spans="1:12">
      <c r="A42" s="1">
        <v>41</v>
      </c>
      <c r="B42" s="1" t="s">
        <v>109</v>
      </c>
      <c r="C42" s="1" t="s">
        <v>25</v>
      </c>
      <c r="D42" s="1" t="s">
        <v>110</v>
      </c>
      <c r="E42" s="1">
        <v>7828</v>
      </c>
      <c r="F42" s="1">
        <v>36</v>
      </c>
      <c r="G42" s="1">
        <v>583</v>
      </c>
      <c r="H42" s="1">
        <v>102</v>
      </c>
      <c r="I42" s="1">
        <v>106</v>
      </c>
      <c r="J42" s="1">
        <v>66</v>
      </c>
      <c r="K42" s="1">
        <v>171</v>
      </c>
      <c r="L42">
        <f t="shared" si="1"/>
        <v>21343</v>
      </c>
    </row>
    <row r="43" spans="1:12">
      <c r="A43" s="1">
        <v>42</v>
      </c>
      <c r="B43" s="1" t="s">
        <v>111</v>
      </c>
      <c r="C43" s="1" t="s">
        <v>25</v>
      </c>
      <c r="D43" s="1" t="s">
        <v>112</v>
      </c>
      <c r="E43" s="1">
        <v>7763</v>
      </c>
      <c r="F43" s="1">
        <v>17</v>
      </c>
      <c r="G43" s="1">
        <v>275</v>
      </c>
      <c r="H43" s="1">
        <v>44</v>
      </c>
      <c r="I43" s="1">
        <v>40</v>
      </c>
      <c r="J43" s="1">
        <v>39</v>
      </c>
      <c r="K43" s="1">
        <v>74</v>
      </c>
      <c r="L43">
        <f t="shared" si="1"/>
        <v>13778</v>
      </c>
    </row>
    <row r="44" spans="1:12">
      <c r="A44" s="1">
        <v>43</v>
      </c>
      <c r="B44" s="1" t="s">
        <v>113</v>
      </c>
      <c r="C44" s="1" t="s">
        <v>30</v>
      </c>
      <c r="D44" s="1" t="s">
        <v>114</v>
      </c>
      <c r="E44" s="1">
        <v>7467</v>
      </c>
      <c r="F44" s="1">
        <v>12</v>
      </c>
      <c r="G44" s="1">
        <v>539</v>
      </c>
      <c r="H44" s="1">
        <v>62</v>
      </c>
      <c r="I44" s="1">
        <v>69</v>
      </c>
      <c r="J44" s="1">
        <v>69</v>
      </c>
      <c r="K44" s="1">
        <v>172</v>
      </c>
      <c r="L44">
        <f t="shared" si="1"/>
        <v>18202</v>
      </c>
    </row>
    <row r="45" spans="1:12">
      <c r="A45" s="1">
        <v>44</v>
      </c>
      <c r="B45" s="1" t="s">
        <v>115</v>
      </c>
      <c r="C45" s="1" t="s">
        <v>116</v>
      </c>
      <c r="D45" s="1" t="s">
        <v>117</v>
      </c>
      <c r="E45" s="1">
        <v>7231</v>
      </c>
      <c r="F45" s="1">
        <v>130</v>
      </c>
      <c r="G45" s="1">
        <v>998</v>
      </c>
      <c r="H45" s="1">
        <v>580</v>
      </c>
      <c r="I45" s="1">
        <v>206</v>
      </c>
      <c r="J45" s="1">
        <v>233</v>
      </c>
      <c r="K45" s="1">
        <v>977</v>
      </c>
      <c r="L45">
        <f t="shared" si="1"/>
        <v>66451</v>
      </c>
    </row>
    <row r="46" spans="1:12">
      <c r="A46" s="1">
        <v>45</v>
      </c>
      <c r="B46" s="1" t="s">
        <v>118</v>
      </c>
      <c r="C46" s="1" t="s">
        <v>25</v>
      </c>
      <c r="D46" s="1" t="s">
        <v>119</v>
      </c>
      <c r="E46" s="1">
        <v>7146</v>
      </c>
      <c r="F46" s="1">
        <v>15</v>
      </c>
      <c r="G46" s="1">
        <v>760</v>
      </c>
      <c r="H46" s="1">
        <v>134</v>
      </c>
      <c r="I46" s="1">
        <v>0</v>
      </c>
      <c r="J46" s="1">
        <v>113</v>
      </c>
      <c r="K46" s="1">
        <v>278</v>
      </c>
      <c r="L46">
        <f t="shared" si="1"/>
        <v>24486</v>
      </c>
    </row>
    <row r="47" spans="1:12">
      <c r="A47" s="1">
        <v>46</v>
      </c>
      <c r="B47" s="1" t="s">
        <v>120</v>
      </c>
      <c r="C47" s="1" t="s">
        <v>25</v>
      </c>
      <c r="D47" s="1" t="s">
        <v>121</v>
      </c>
      <c r="E47" s="1">
        <v>7008</v>
      </c>
      <c r="F47" s="1">
        <v>66</v>
      </c>
      <c r="G47" s="1">
        <v>711</v>
      </c>
      <c r="H47" s="1">
        <v>276</v>
      </c>
      <c r="I47" s="1">
        <v>96</v>
      </c>
      <c r="J47" s="1">
        <v>122</v>
      </c>
      <c r="K47" s="1">
        <v>501</v>
      </c>
      <c r="L47">
        <f t="shared" si="1"/>
        <v>37223</v>
      </c>
    </row>
    <row r="48" spans="1:12">
      <c r="A48" s="1">
        <v>47</v>
      </c>
      <c r="B48" s="1" t="s">
        <v>122</v>
      </c>
      <c r="C48" s="1" t="s">
        <v>25</v>
      </c>
      <c r="D48" s="1" t="s">
        <v>123</v>
      </c>
      <c r="E48" s="1">
        <v>6890</v>
      </c>
      <c r="F48" s="1">
        <v>45</v>
      </c>
      <c r="G48" s="1">
        <v>893</v>
      </c>
      <c r="H48" s="1">
        <v>240</v>
      </c>
      <c r="I48" s="1">
        <v>47</v>
      </c>
      <c r="J48" s="1">
        <v>87</v>
      </c>
      <c r="K48" s="1">
        <v>352</v>
      </c>
      <c r="L48">
        <f t="shared" si="1"/>
        <v>32185</v>
      </c>
    </row>
    <row r="49" spans="1:12">
      <c r="A49" s="1">
        <v>48</v>
      </c>
      <c r="B49" s="1" t="s">
        <v>124</v>
      </c>
      <c r="C49" s="1" t="s">
        <v>33</v>
      </c>
      <c r="D49" s="1" t="s">
        <v>125</v>
      </c>
      <c r="E49" s="1">
        <v>6817</v>
      </c>
      <c r="F49" s="1">
        <v>1</v>
      </c>
      <c r="G49" s="1">
        <v>228</v>
      </c>
      <c r="H49" s="1">
        <v>7</v>
      </c>
      <c r="I49" s="1">
        <v>32</v>
      </c>
      <c r="J49" s="1">
        <v>22</v>
      </c>
      <c r="K49" s="1">
        <v>13</v>
      </c>
      <c r="L49">
        <f t="shared" si="1"/>
        <v>9117</v>
      </c>
    </row>
    <row r="50" spans="1:12">
      <c r="A50" s="1">
        <v>49</v>
      </c>
      <c r="B50" s="1" t="s">
        <v>126</v>
      </c>
      <c r="C50" s="1" t="s">
        <v>62</v>
      </c>
      <c r="D50" s="1" t="s">
        <v>127</v>
      </c>
      <c r="E50" s="1">
        <v>6626</v>
      </c>
      <c r="F50" s="1">
        <v>11</v>
      </c>
      <c r="G50" s="1">
        <v>504</v>
      </c>
      <c r="H50" s="1">
        <v>62</v>
      </c>
      <c r="I50" s="1">
        <v>60</v>
      </c>
      <c r="J50" s="1">
        <v>24</v>
      </c>
      <c r="K50" s="1">
        <v>101</v>
      </c>
      <c r="L50">
        <f t="shared" si="1"/>
        <v>15216</v>
      </c>
    </row>
    <row r="51" spans="1:12">
      <c r="A51" s="1">
        <v>50</v>
      </c>
      <c r="B51" s="1" t="s">
        <v>128</v>
      </c>
      <c r="C51" s="1" t="s">
        <v>33</v>
      </c>
      <c r="D51" s="1" t="s">
        <v>129</v>
      </c>
      <c r="E51" s="1">
        <v>6553</v>
      </c>
      <c r="F51" s="1">
        <v>6</v>
      </c>
      <c r="G51" s="1">
        <v>200</v>
      </c>
      <c r="H51" s="1">
        <v>74</v>
      </c>
      <c r="I51" s="1">
        <v>28</v>
      </c>
      <c r="J51" s="1">
        <v>114</v>
      </c>
      <c r="K51" s="1">
        <v>42</v>
      </c>
      <c r="L51">
        <f t="shared" si="1"/>
        <v>13573</v>
      </c>
    </row>
    <row r="52" spans="1:12">
      <c r="A52" s="1">
        <v>51</v>
      </c>
      <c r="B52" s="1" t="s">
        <v>130</v>
      </c>
      <c r="C52" s="1"/>
      <c r="D52" s="1" t="s">
        <v>131</v>
      </c>
      <c r="E52" s="1">
        <v>6483</v>
      </c>
      <c r="F52" s="1">
        <v>29</v>
      </c>
      <c r="G52" s="1">
        <v>556</v>
      </c>
      <c r="H52" s="1">
        <v>55</v>
      </c>
      <c r="I52" s="1">
        <v>118</v>
      </c>
      <c r="J52" s="1">
        <v>69</v>
      </c>
      <c r="K52" s="1">
        <v>142</v>
      </c>
      <c r="L52">
        <f t="shared" si="1"/>
        <v>17013</v>
      </c>
    </row>
    <row r="53" spans="1:12">
      <c r="A53" s="1">
        <v>52</v>
      </c>
      <c r="B53" s="1" t="s">
        <v>132</v>
      </c>
      <c r="C53" s="1"/>
      <c r="D53" s="1" t="s">
        <v>133</v>
      </c>
      <c r="E53" s="1">
        <v>6253</v>
      </c>
      <c r="F53" s="1">
        <v>121</v>
      </c>
      <c r="G53" s="1">
        <v>605</v>
      </c>
      <c r="H53" s="1">
        <v>123</v>
      </c>
      <c r="I53" s="1">
        <v>85</v>
      </c>
      <c r="J53" s="1">
        <v>57</v>
      </c>
      <c r="K53" s="1">
        <v>202</v>
      </c>
      <c r="L53">
        <f t="shared" si="1"/>
        <v>22098</v>
      </c>
    </row>
    <row r="54" spans="1:12">
      <c r="A54" s="1">
        <v>53</v>
      </c>
      <c r="B54" s="1" t="s">
        <v>134</v>
      </c>
      <c r="C54" s="1" t="s">
        <v>25</v>
      </c>
      <c r="D54" s="1" t="s">
        <v>135</v>
      </c>
      <c r="E54" s="1">
        <v>6241</v>
      </c>
      <c r="F54" s="1">
        <v>1</v>
      </c>
      <c r="G54" s="1">
        <v>207</v>
      </c>
      <c r="H54" s="1">
        <v>8</v>
      </c>
      <c r="I54" s="1">
        <v>31</v>
      </c>
      <c r="J54" s="1">
        <v>14</v>
      </c>
      <c r="K54" s="1">
        <v>28</v>
      </c>
      <c r="L54">
        <f t="shared" si="1"/>
        <v>8696</v>
      </c>
    </row>
    <row r="55" spans="1:12">
      <c r="A55" s="1">
        <v>54</v>
      </c>
      <c r="B55" s="1" t="s">
        <v>136</v>
      </c>
      <c r="C55" s="1" t="s">
        <v>25</v>
      </c>
      <c r="D55" s="1" t="s">
        <v>137</v>
      </c>
      <c r="E55" s="1">
        <v>6205</v>
      </c>
      <c r="F55" s="1">
        <v>21</v>
      </c>
      <c r="G55" s="1">
        <v>585</v>
      </c>
      <c r="H55" s="1">
        <v>29</v>
      </c>
      <c r="I55" s="1">
        <v>77</v>
      </c>
      <c r="J55" s="1">
        <v>112</v>
      </c>
      <c r="K55" s="1">
        <v>74</v>
      </c>
      <c r="L55">
        <f t="shared" si="1"/>
        <v>14160</v>
      </c>
    </row>
    <row r="56" spans="1:12">
      <c r="A56" s="1">
        <v>55</v>
      </c>
      <c r="B56" s="1" t="s">
        <v>138</v>
      </c>
      <c r="C56" s="1" t="s">
        <v>33</v>
      </c>
      <c r="D56" s="1" t="s">
        <v>139</v>
      </c>
      <c r="E56" s="1">
        <v>6100</v>
      </c>
      <c r="F56" s="1">
        <v>4</v>
      </c>
      <c r="G56" s="1">
        <v>434</v>
      </c>
      <c r="H56" s="1">
        <v>36</v>
      </c>
      <c r="I56" s="1">
        <v>45</v>
      </c>
      <c r="J56" s="1">
        <v>29</v>
      </c>
      <c r="K56" s="1">
        <v>73</v>
      </c>
      <c r="L56">
        <f t="shared" si="1"/>
        <v>12310</v>
      </c>
    </row>
    <row r="57" spans="1:12">
      <c r="A57" s="1">
        <v>56</v>
      </c>
      <c r="B57" s="1" t="s">
        <v>140</v>
      </c>
      <c r="C57" s="1" t="s">
        <v>141</v>
      </c>
      <c r="D57" s="1" t="s">
        <v>142</v>
      </c>
      <c r="E57" s="1">
        <v>6100</v>
      </c>
      <c r="F57" s="1">
        <v>0</v>
      </c>
      <c r="G57" s="1">
        <v>332</v>
      </c>
      <c r="H57" s="1">
        <v>36</v>
      </c>
      <c r="I57" s="1">
        <v>37</v>
      </c>
      <c r="J57" s="1">
        <v>25</v>
      </c>
      <c r="K57" s="1">
        <v>79</v>
      </c>
      <c r="L57">
        <f t="shared" si="1"/>
        <v>11760</v>
      </c>
    </row>
    <row r="58" spans="1:12">
      <c r="A58" s="1">
        <v>57</v>
      </c>
      <c r="B58" s="1" t="s">
        <v>143</v>
      </c>
      <c r="C58" s="1" t="s">
        <v>25</v>
      </c>
      <c r="D58" s="1" t="s">
        <v>144</v>
      </c>
      <c r="E58" s="1">
        <v>5974</v>
      </c>
      <c r="F58" s="1">
        <v>69</v>
      </c>
      <c r="G58" s="1">
        <v>403</v>
      </c>
      <c r="H58" s="1">
        <v>149</v>
      </c>
      <c r="I58" s="1">
        <v>43</v>
      </c>
      <c r="J58" s="1">
        <v>57</v>
      </c>
      <c r="K58" s="1">
        <v>178</v>
      </c>
      <c r="L58">
        <f t="shared" si="1"/>
        <v>20689</v>
      </c>
    </row>
    <row r="59" spans="1:12">
      <c r="A59" s="1">
        <v>58</v>
      </c>
      <c r="B59" s="1" t="s">
        <v>145</v>
      </c>
      <c r="C59" s="1" t="s">
        <v>33</v>
      </c>
      <c r="D59" s="1" t="s">
        <v>146</v>
      </c>
      <c r="E59" s="1">
        <v>5516</v>
      </c>
      <c r="F59" s="1">
        <v>19</v>
      </c>
      <c r="G59" s="1">
        <v>250</v>
      </c>
      <c r="H59" s="1">
        <v>26</v>
      </c>
      <c r="I59" s="1">
        <v>32</v>
      </c>
      <c r="J59" s="1">
        <v>61</v>
      </c>
      <c r="K59" s="1">
        <v>71</v>
      </c>
      <c r="L59">
        <f t="shared" si="1"/>
        <v>10606</v>
      </c>
    </row>
    <row r="60" spans="1:12">
      <c r="A60" s="1">
        <v>59</v>
      </c>
      <c r="B60" s="1" t="s">
        <v>147</v>
      </c>
      <c r="C60" s="1" t="s">
        <v>25</v>
      </c>
      <c r="D60" s="1" t="s">
        <v>148</v>
      </c>
      <c r="E60" s="1">
        <v>5038</v>
      </c>
      <c r="F60" s="1">
        <v>52</v>
      </c>
      <c r="G60" s="1">
        <v>372</v>
      </c>
      <c r="H60" s="1">
        <v>51</v>
      </c>
      <c r="I60" s="1">
        <v>83</v>
      </c>
      <c r="J60" s="1">
        <v>47</v>
      </c>
      <c r="K60" s="1">
        <v>116</v>
      </c>
      <c r="L60">
        <f t="shared" si="1"/>
        <v>13588</v>
      </c>
    </row>
    <row r="61" spans="1:12">
      <c r="A61" s="1">
        <v>60</v>
      </c>
      <c r="B61" s="1" t="s">
        <v>149</v>
      </c>
      <c r="C61" s="1"/>
      <c r="D61" s="1" t="s">
        <v>150</v>
      </c>
      <c r="E61" s="1">
        <v>4960</v>
      </c>
      <c r="F61" s="1">
        <v>0</v>
      </c>
      <c r="G61" s="1">
        <v>318</v>
      </c>
      <c r="H61" s="1">
        <v>97</v>
      </c>
      <c r="I61" s="1">
        <v>25</v>
      </c>
      <c r="J61" s="1">
        <v>35</v>
      </c>
      <c r="K61" s="1">
        <v>47</v>
      </c>
      <c r="L61">
        <f t="shared" si="1"/>
        <v>12940</v>
      </c>
    </row>
    <row r="62" spans="1:12">
      <c r="A62" s="1">
        <v>61</v>
      </c>
      <c r="B62" s="1" t="s">
        <v>151</v>
      </c>
      <c r="C62" s="1" t="s">
        <v>30</v>
      </c>
      <c r="D62" s="1" t="s">
        <v>152</v>
      </c>
      <c r="E62" s="1">
        <v>4934</v>
      </c>
      <c r="F62" s="1">
        <v>50</v>
      </c>
      <c r="G62" s="1">
        <v>468</v>
      </c>
      <c r="H62" s="1">
        <v>216</v>
      </c>
      <c r="I62" s="1">
        <v>60</v>
      </c>
      <c r="J62" s="1">
        <v>93</v>
      </c>
      <c r="K62" s="1">
        <v>360</v>
      </c>
      <c r="L62">
        <f t="shared" si="1"/>
        <v>27304</v>
      </c>
    </row>
    <row r="63" spans="1:12">
      <c r="A63" s="1">
        <v>62</v>
      </c>
      <c r="B63" s="1" t="s">
        <v>153</v>
      </c>
      <c r="C63" s="1" t="s">
        <v>30</v>
      </c>
      <c r="D63" s="1" t="s">
        <v>154</v>
      </c>
      <c r="E63" s="1">
        <v>4913</v>
      </c>
      <c r="F63" s="1">
        <v>15</v>
      </c>
      <c r="G63" s="1">
        <v>460</v>
      </c>
      <c r="H63" s="1">
        <v>50</v>
      </c>
      <c r="I63" s="1">
        <v>36</v>
      </c>
      <c r="J63" s="1">
        <v>66</v>
      </c>
      <c r="K63" s="1">
        <v>74</v>
      </c>
      <c r="L63">
        <f t="shared" si="1"/>
        <v>12363</v>
      </c>
    </row>
    <row r="64" spans="1:12">
      <c r="A64" s="1">
        <v>63</v>
      </c>
      <c r="B64" s="1" t="s">
        <v>155</v>
      </c>
      <c r="C64" s="1" t="s">
        <v>25</v>
      </c>
      <c r="D64" s="1" t="s">
        <v>156</v>
      </c>
      <c r="E64" s="1">
        <v>4829</v>
      </c>
      <c r="F64" s="1">
        <v>32</v>
      </c>
      <c r="G64" s="1">
        <v>208</v>
      </c>
      <c r="H64" s="1">
        <v>64</v>
      </c>
      <c r="I64" s="1">
        <v>78</v>
      </c>
      <c r="J64" s="1">
        <v>35</v>
      </c>
      <c r="K64" s="1">
        <v>90</v>
      </c>
      <c r="L64">
        <f t="shared" si="1"/>
        <v>12319</v>
      </c>
    </row>
    <row r="65" spans="1:12">
      <c r="A65" s="1">
        <v>64</v>
      </c>
      <c r="B65" s="1" t="s">
        <v>157</v>
      </c>
      <c r="C65" s="1" t="s">
        <v>25</v>
      </c>
      <c r="D65" s="1" t="s">
        <v>158</v>
      </c>
      <c r="E65" s="1">
        <v>4771</v>
      </c>
      <c r="F65" s="1">
        <v>0</v>
      </c>
      <c r="G65" s="1">
        <v>301</v>
      </c>
      <c r="H65" s="1">
        <v>59</v>
      </c>
      <c r="I65" s="1">
        <v>30</v>
      </c>
      <c r="J65" s="1">
        <v>59</v>
      </c>
      <c r="K65" s="1">
        <v>88</v>
      </c>
      <c r="L65">
        <f t="shared" si="1"/>
        <v>11876</v>
      </c>
    </row>
    <row r="66" spans="1:12">
      <c r="A66" s="1">
        <v>65</v>
      </c>
      <c r="B66" s="1" t="s">
        <v>159</v>
      </c>
      <c r="C66" s="1" t="s">
        <v>25</v>
      </c>
      <c r="D66" s="1" t="s">
        <v>160</v>
      </c>
      <c r="E66" s="1">
        <v>4727</v>
      </c>
      <c r="F66" s="1">
        <v>11</v>
      </c>
      <c r="G66" s="1">
        <v>477</v>
      </c>
      <c r="H66" s="1">
        <v>63</v>
      </c>
      <c r="I66" s="1">
        <v>68</v>
      </c>
      <c r="J66" s="1">
        <v>33</v>
      </c>
      <c r="K66" s="1">
        <v>122</v>
      </c>
      <c r="L66">
        <f t="shared" si="1"/>
        <v>13822</v>
      </c>
    </row>
    <row r="67" spans="1:12">
      <c r="A67" s="1">
        <v>66</v>
      </c>
      <c r="B67" s="1" t="s">
        <v>161</v>
      </c>
      <c r="C67" s="1" t="s">
        <v>141</v>
      </c>
      <c r="D67" s="1" t="s">
        <v>162</v>
      </c>
      <c r="E67" s="1">
        <v>4723</v>
      </c>
      <c r="F67" s="1">
        <v>20</v>
      </c>
      <c r="G67" s="1">
        <v>504</v>
      </c>
      <c r="H67" s="1">
        <v>86</v>
      </c>
      <c r="I67" s="1">
        <v>46</v>
      </c>
      <c r="J67" s="1">
        <v>52</v>
      </c>
      <c r="K67" s="1">
        <v>178</v>
      </c>
      <c r="L67">
        <f t="shared" ref="L67:L98" si="2">E67+G67*5+F67*10+K67*20+I67*10+J67*10+H67*50</f>
        <v>16283</v>
      </c>
    </row>
    <row r="68" spans="1:12">
      <c r="A68" s="1">
        <v>67</v>
      </c>
      <c r="B68" s="1" t="s">
        <v>163</v>
      </c>
      <c r="C68" s="1"/>
      <c r="D68" s="1" t="s">
        <v>164</v>
      </c>
      <c r="E68" s="1">
        <v>4541</v>
      </c>
      <c r="F68" s="1">
        <v>9</v>
      </c>
      <c r="G68" s="1">
        <v>290</v>
      </c>
      <c r="H68" s="1">
        <v>15</v>
      </c>
      <c r="I68" s="1">
        <v>21</v>
      </c>
      <c r="J68" s="1">
        <v>21</v>
      </c>
      <c r="K68" s="1">
        <v>58</v>
      </c>
      <c r="L68">
        <f t="shared" si="2"/>
        <v>8411</v>
      </c>
    </row>
    <row r="69" spans="1:12">
      <c r="A69" s="1">
        <v>68</v>
      </c>
      <c r="B69" s="1" t="s">
        <v>165</v>
      </c>
      <c r="C69" s="1" t="s">
        <v>30</v>
      </c>
      <c r="D69" s="1" t="s">
        <v>166</v>
      </c>
      <c r="E69" s="1">
        <v>4538</v>
      </c>
      <c r="F69" s="1">
        <v>0</v>
      </c>
      <c r="G69" s="1">
        <v>626</v>
      </c>
      <c r="H69" s="1">
        <v>119</v>
      </c>
      <c r="I69" s="1">
        <v>22</v>
      </c>
      <c r="J69" s="1">
        <v>78</v>
      </c>
      <c r="K69" s="1">
        <v>339</v>
      </c>
      <c r="L69">
        <f t="shared" si="2"/>
        <v>21398</v>
      </c>
    </row>
    <row r="70" spans="1:12">
      <c r="A70" s="1">
        <v>69</v>
      </c>
      <c r="B70" s="1" t="s">
        <v>167</v>
      </c>
      <c r="C70" s="1" t="s">
        <v>141</v>
      </c>
      <c r="D70" s="1" t="s">
        <v>168</v>
      </c>
      <c r="E70" s="1">
        <v>4478</v>
      </c>
      <c r="F70" s="1">
        <v>19</v>
      </c>
      <c r="G70" s="1">
        <v>429</v>
      </c>
      <c r="H70" s="1">
        <v>64</v>
      </c>
      <c r="I70" s="1">
        <v>50</v>
      </c>
      <c r="J70" s="1">
        <v>28</v>
      </c>
      <c r="K70" s="1">
        <v>143</v>
      </c>
      <c r="L70">
        <f t="shared" si="2"/>
        <v>13653</v>
      </c>
    </row>
    <row r="71" spans="1:12">
      <c r="A71" s="1">
        <v>70</v>
      </c>
      <c r="B71" s="1" t="s">
        <v>169</v>
      </c>
      <c r="C71" s="1" t="s">
        <v>141</v>
      </c>
      <c r="D71" s="1" t="s">
        <v>170</v>
      </c>
      <c r="E71" s="1">
        <v>4209</v>
      </c>
      <c r="F71" s="1">
        <v>3</v>
      </c>
      <c r="G71" s="1">
        <v>534</v>
      </c>
      <c r="H71" s="1">
        <v>54</v>
      </c>
      <c r="I71" s="1">
        <v>47</v>
      </c>
      <c r="J71" s="1">
        <v>32</v>
      </c>
      <c r="K71" s="1">
        <v>156</v>
      </c>
      <c r="L71">
        <f t="shared" si="2"/>
        <v>13519</v>
      </c>
    </row>
    <row r="72" spans="1:12">
      <c r="A72" s="1">
        <v>71</v>
      </c>
      <c r="B72" s="1" t="s">
        <v>171</v>
      </c>
      <c r="C72" s="1" t="s">
        <v>62</v>
      </c>
      <c r="D72" s="1" t="s">
        <v>172</v>
      </c>
      <c r="E72" s="1">
        <v>3962</v>
      </c>
      <c r="F72" s="1">
        <v>3</v>
      </c>
      <c r="G72" s="1">
        <v>192</v>
      </c>
      <c r="H72" s="1">
        <v>25</v>
      </c>
      <c r="I72" s="1">
        <v>27</v>
      </c>
      <c r="J72" s="1">
        <v>42</v>
      </c>
      <c r="K72" s="1">
        <v>49</v>
      </c>
      <c r="L72">
        <f t="shared" si="2"/>
        <v>7872</v>
      </c>
    </row>
    <row r="73" spans="1:12">
      <c r="A73" s="1">
        <v>72</v>
      </c>
      <c r="B73" s="1" t="s">
        <v>173</v>
      </c>
      <c r="C73" s="1" t="s">
        <v>25</v>
      </c>
      <c r="D73" s="1" t="s">
        <v>174</v>
      </c>
      <c r="E73" s="1">
        <v>3909</v>
      </c>
      <c r="F73" s="1">
        <v>2</v>
      </c>
      <c r="G73" s="1">
        <v>205</v>
      </c>
      <c r="H73" s="1">
        <v>9</v>
      </c>
      <c r="I73" s="1">
        <v>14</v>
      </c>
      <c r="J73" s="1">
        <v>10</v>
      </c>
      <c r="K73" s="1">
        <v>4</v>
      </c>
      <c r="L73">
        <f t="shared" si="2"/>
        <v>5724</v>
      </c>
    </row>
    <row r="74" spans="1:12">
      <c r="A74" s="1">
        <v>73</v>
      </c>
      <c r="B74" s="1" t="s">
        <v>175</v>
      </c>
      <c r="C74" s="1" t="s">
        <v>30</v>
      </c>
      <c r="D74" s="1" t="s">
        <v>176</v>
      </c>
      <c r="E74" s="1">
        <v>3844</v>
      </c>
      <c r="F74" s="1">
        <v>37</v>
      </c>
      <c r="G74" s="1">
        <v>589</v>
      </c>
      <c r="H74" s="1">
        <v>104</v>
      </c>
      <c r="I74" s="1">
        <v>26</v>
      </c>
      <c r="J74" s="1">
        <v>51</v>
      </c>
      <c r="K74" s="1">
        <v>209</v>
      </c>
      <c r="L74">
        <f t="shared" si="2"/>
        <v>17309</v>
      </c>
    </row>
    <row r="75" spans="1:12">
      <c r="A75" s="1">
        <v>74</v>
      </c>
      <c r="B75" s="1" t="s">
        <v>177</v>
      </c>
      <c r="C75" s="1" t="s">
        <v>33</v>
      </c>
      <c r="D75" s="1" t="s">
        <v>178</v>
      </c>
      <c r="E75" s="1">
        <v>3574</v>
      </c>
      <c r="F75" s="1">
        <v>0</v>
      </c>
      <c r="G75" s="1">
        <v>618</v>
      </c>
      <c r="H75" s="1">
        <v>129</v>
      </c>
      <c r="I75" s="1">
        <v>82</v>
      </c>
      <c r="J75" s="1">
        <v>42</v>
      </c>
      <c r="K75" s="1">
        <v>266</v>
      </c>
      <c r="L75">
        <f t="shared" si="2"/>
        <v>19674</v>
      </c>
    </row>
    <row r="76" spans="1:12">
      <c r="A76" s="1">
        <v>75</v>
      </c>
      <c r="B76" s="1" t="s">
        <v>179</v>
      </c>
      <c r="C76" s="1" t="s">
        <v>25</v>
      </c>
      <c r="D76" s="1" t="s">
        <v>180</v>
      </c>
      <c r="E76" s="1">
        <v>3251</v>
      </c>
      <c r="F76" s="1">
        <v>9</v>
      </c>
      <c r="G76" s="1">
        <v>330</v>
      </c>
      <c r="H76" s="1">
        <v>32</v>
      </c>
      <c r="I76" s="1">
        <v>29</v>
      </c>
      <c r="J76" s="1">
        <v>15</v>
      </c>
      <c r="K76" s="1">
        <v>59</v>
      </c>
      <c r="L76">
        <f t="shared" si="2"/>
        <v>8211</v>
      </c>
    </row>
    <row r="77" spans="1:12">
      <c r="A77" s="1">
        <v>76</v>
      </c>
      <c r="B77" s="1" t="s">
        <v>181</v>
      </c>
      <c r="C77" s="1" t="s">
        <v>25</v>
      </c>
      <c r="D77" s="1" t="s">
        <v>182</v>
      </c>
      <c r="E77" s="1">
        <v>3091</v>
      </c>
      <c r="F77" s="1">
        <v>19</v>
      </c>
      <c r="G77" s="1">
        <v>280</v>
      </c>
      <c r="H77" s="1">
        <v>45</v>
      </c>
      <c r="I77" s="1">
        <v>73</v>
      </c>
      <c r="J77" s="1">
        <v>17</v>
      </c>
      <c r="K77" s="1">
        <v>138</v>
      </c>
      <c r="L77">
        <f t="shared" si="2"/>
        <v>10591</v>
      </c>
    </row>
    <row r="78" spans="1:12">
      <c r="A78" s="1">
        <v>77</v>
      </c>
      <c r="B78" s="1" t="s">
        <v>183</v>
      </c>
      <c r="C78" s="1" t="s">
        <v>62</v>
      </c>
      <c r="D78" s="1" t="s">
        <v>184</v>
      </c>
      <c r="E78" s="1">
        <v>2950</v>
      </c>
      <c r="F78" s="1">
        <v>2</v>
      </c>
      <c r="G78" s="1">
        <v>160</v>
      </c>
      <c r="H78" s="1">
        <v>9</v>
      </c>
      <c r="I78" s="1">
        <v>7</v>
      </c>
      <c r="J78" s="1">
        <v>19</v>
      </c>
      <c r="K78" s="1">
        <v>19</v>
      </c>
      <c r="L78">
        <f t="shared" si="2"/>
        <v>4860</v>
      </c>
    </row>
    <row r="79" spans="1:12">
      <c r="A79" s="1">
        <v>78</v>
      </c>
      <c r="B79" s="1" t="s">
        <v>185</v>
      </c>
      <c r="C79" s="1" t="s">
        <v>25</v>
      </c>
      <c r="D79" s="1" t="s">
        <v>186</v>
      </c>
      <c r="E79" s="1">
        <v>2854</v>
      </c>
      <c r="F79" s="1">
        <v>9</v>
      </c>
      <c r="G79" s="1">
        <v>279</v>
      </c>
      <c r="H79" s="1">
        <v>48</v>
      </c>
      <c r="I79" s="1">
        <v>73</v>
      </c>
      <c r="J79" s="1">
        <v>20</v>
      </c>
      <c r="K79" s="1">
        <v>129</v>
      </c>
      <c r="L79">
        <f t="shared" si="2"/>
        <v>10249</v>
      </c>
    </row>
    <row r="80" spans="1:12">
      <c r="A80" s="1">
        <v>79</v>
      </c>
      <c r="B80" s="1" t="s">
        <v>187</v>
      </c>
      <c r="C80" s="1" t="s">
        <v>30</v>
      </c>
      <c r="D80" s="1" t="s">
        <v>188</v>
      </c>
      <c r="E80" s="1">
        <v>2701</v>
      </c>
      <c r="F80" s="1">
        <v>9</v>
      </c>
      <c r="G80" s="1">
        <v>238</v>
      </c>
      <c r="H80" s="1">
        <v>28</v>
      </c>
      <c r="I80" s="1">
        <v>7</v>
      </c>
      <c r="J80" s="1">
        <v>19</v>
      </c>
      <c r="K80" s="1">
        <v>74</v>
      </c>
      <c r="L80">
        <f t="shared" si="2"/>
        <v>7121</v>
      </c>
    </row>
    <row r="81" spans="1:12">
      <c r="A81" s="1">
        <v>80</v>
      </c>
      <c r="B81" s="1" t="s">
        <v>189</v>
      </c>
      <c r="C81" s="1" t="s">
        <v>25</v>
      </c>
      <c r="D81" s="1" t="s">
        <v>190</v>
      </c>
      <c r="E81" s="1">
        <v>2666</v>
      </c>
      <c r="F81" s="1">
        <v>6</v>
      </c>
      <c r="G81" s="1">
        <v>186</v>
      </c>
      <c r="H81" s="1">
        <v>73</v>
      </c>
      <c r="I81" s="1">
        <v>51</v>
      </c>
      <c r="J81" s="1">
        <v>41</v>
      </c>
      <c r="K81" s="1">
        <v>101</v>
      </c>
      <c r="L81">
        <f t="shared" si="2"/>
        <v>10246</v>
      </c>
    </row>
    <row r="82" spans="1:12">
      <c r="A82" s="1">
        <v>81</v>
      </c>
      <c r="B82" s="1" t="s">
        <v>191</v>
      </c>
      <c r="C82" s="1" t="s">
        <v>33</v>
      </c>
      <c r="D82" s="1" t="s">
        <v>192</v>
      </c>
      <c r="E82" s="1">
        <v>2572</v>
      </c>
      <c r="F82" s="1">
        <v>80</v>
      </c>
      <c r="G82" s="1">
        <v>106</v>
      </c>
      <c r="H82" s="1">
        <v>4</v>
      </c>
      <c r="I82" s="1">
        <v>7</v>
      </c>
      <c r="J82" s="1">
        <v>10</v>
      </c>
      <c r="K82" s="1">
        <v>9</v>
      </c>
      <c r="L82">
        <f t="shared" si="2"/>
        <v>4452</v>
      </c>
    </row>
    <row r="83" spans="1:12">
      <c r="A83" s="1">
        <v>82</v>
      </c>
      <c r="B83" s="1" t="s">
        <v>193</v>
      </c>
      <c r="C83" s="1" t="s">
        <v>25</v>
      </c>
      <c r="D83" s="1" t="s">
        <v>194</v>
      </c>
      <c r="E83" s="1">
        <v>2555</v>
      </c>
      <c r="F83" s="1">
        <v>0</v>
      </c>
      <c r="G83" s="1">
        <v>299</v>
      </c>
      <c r="H83" s="1">
        <v>117</v>
      </c>
      <c r="I83" s="1">
        <v>0</v>
      </c>
      <c r="J83" s="1">
        <v>42</v>
      </c>
      <c r="K83" s="1">
        <v>169</v>
      </c>
      <c r="L83">
        <f t="shared" si="2"/>
        <v>13700</v>
      </c>
    </row>
    <row r="84" spans="1:12">
      <c r="A84" s="1">
        <v>83</v>
      </c>
      <c r="B84" s="1" t="s">
        <v>195</v>
      </c>
      <c r="C84" s="1" t="s">
        <v>196</v>
      </c>
      <c r="D84" s="1" t="s">
        <v>197</v>
      </c>
      <c r="E84" s="1">
        <v>2544</v>
      </c>
      <c r="F84" s="1">
        <v>18</v>
      </c>
      <c r="G84" s="1">
        <v>325</v>
      </c>
      <c r="H84" s="1">
        <v>50</v>
      </c>
      <c r="I84" s="1">
        <v>18</v>
      </c>
      <c r="J84" s="1">
        <v>45</v>
      </c>
      <c r="K84" s="1">
        <v>130</v>
      </c>
      <c r="L84">
        <f t="shared" si="2"/>
        <v>10079</v>
      </c>
    </row>
    <row r="85" spans="1:12">
      <c r="A85" s="1">
        <v>84</v>
      </c>
      <c r="B85" s="1" t="s">
        <v>198</v>
      </c>
      <c r="C85" s="1" t="s">
        <v>25</v>
      </c>
      <c r="D85" s="1" t="s">
        <v>199</v>
      </c>
      <c r="E85" s="1">
        <v>2302</v>
      </c>
      <c r="F85" s="1">
        <v>10</v>
      </c>
      <c r="G85" s="1">
        <v>193</v>
      </c>
      <c r="H85" s="1">
        <v>46</v>
      </c>
      <c r="I85" s="1">
        <v>77</v>
      </c>
      <c r="J85" s="1">
        <v>19</v>
      </c>
      <c r="K85" s="1">
        <v>101</v>
      </c>
      <c r="L85">
        <f t="shared" si="2"/>
        <v>8647</v>
      </c>
    </row>
    <row r="86" spans="1:12">
      <c r="A86" s="1">
        <v>85</v>
      </c>
      <c r="B86" s="1" t="s">
        <v>200</v>
      </c>
      <c r="C86" s="1"/>
      <c r="D86" s="1" t="s">
        <v>201</v>
      </c>
      <c r="E86" s="1">
        <v>2085</v>
      </c>
      <c r="F86" s="1">
        <v>1</v>
      </c>
      <c r="G86" s="1">
        <v>122</v>
      </c>
      <c r="H86" s="1">
        <v>10</v>
      </c>
      <c r="I86" s="1">
        <v>8</v>
      </c>
      <c r="J86" s="1">
        <v>12</v>
      </c>
      <c r="K86" s="1">
        <v>10</v>
      </c>
      <c r="L86">
        <f t="shared" si="2"/>
        <v>3605</v>
      </c>
    </row>
    <row r="87" spans="1:12">
      <c r="A87" s="1">
        <v>86</v>
      </c>
      <c r="B87" s="1" t="s">
        <v>202</v>
      </c>
      <c r="C87" s="1" t="s">
        <v>33</v>
      </c>
      <c r="D87" s="1" t="s">
        <v>203</v>
      </c>
      <c r="E87" s="1">
        <v>2030</v>
      </c>
      <c r="F87" s="1">
        <v>5</v>
      </c>
      <c r="G87" s="1">
        <v>236</v>
      </c>
      <c r="H87" s="1">
        <v>30</v>
      </c>
      <c r="I87" s="1">
        <v>36</v>
      </c>
      <c r="J87" s="1">
        <v>22</v>
      </c>
      <c r="K87" s="1">
        <v>40</v>
      </c>
      <c r="L87">
        <f t="shared" si="2"/>
        <v>6140</v>
      </c>
    </row>
    <row r="88" spans="1:12">
      <c r="A88" s="1">
        <v>87</v>
      </c>
      <c r="B88" s="1" t="s">
        <v>204</v>
      </c>
      <c r="C88" s="1" t="s">
        <v>33</v>
      </c>
      <c r="D88" s="1" t="s">
        <v>205</v>
      </c>
      <c r="E88" s="1">
        <v>2019</v>
      </c>
      <c r="F88" s="1">
        <v>1</v>
      </c>
      <c r="G88" s="1">
        <v>164</v>
      </c>
      <c r="H88" s="1">
        <v>17</v>
      </c>
      <c r="I88" s="1">
        <v>16</v>
      </c>
      <c r="J88" s="1">
        <v>27</v>
      </c>
      <c r="K88" s="1">
        <v>31</v>
      </c>
      <c r="L88">
        <f t="shared" si="2"/>
        <v>4749</v>
      </c>
    </row>
    <row r="89" spans="1:12">
      <c r="A89" s="1">
        <v>88</v>
      </c>
      <c r="B89" s="1" t="s">
        <v>206</v>
      </c>
      <c r="C89" s="1" t="s">
        <v>33</v>
      </c>
      <c r="D89" s="1" t="s">
        <v>207</v>
      </c>
      <c r="E89" s="1">
        <v>2004</v>
      </c>
      <c r="F89" s="1">
        <v>0</v>
      </c>
      <c r="G89" s="1">
        <v>251</v>
      </c>
      <c r="H89" s="1">
        <v>42</v>
      </c>
      <c r="I89" s="1">
        <v>7</v>
      </c>
      <c r="J89" s="1">
        <v>11</v>
      </c>
      <c r="K89" s="1">
        <v>35</v>
      </c>
      <c r="L89">
        <f t="shared" si="2"/>
        <v>6239</v>
      </c>
    </row>
    <row r="90" spans="1:12">
      <c r="A90" s="1">
        <v>89</v>
      </c>
      <c r="B90" s="1" t="s">
        <v>208</v>
      </c>
      <c r="C90" s="1" t="s">
        <v>25</v>
      </c>
      <c r="D90" s="1" t="s">
        <v>209</v>
      </c>
      <c r="E90" s="1">
        <v>2001</v>
      </c>
      <c r="F90" s="1">
        <v>2</v>
      </c>
      <c r="G90" s="1">
        <v>206</v>
      </c>
      <c r="H90" s="1">
        <v>27</v>
      </c>
      <c r="I90" s="1">
        <v>75</v>
      </c>
      <c r="J90" s="1">
        <v>17</v>
      </c>
      <c r="K90" s="1">
        <v>112</v>
      </c>
      <c r="L90">
        <f t="shared" si="2"/>
        <v>7561</v>
      </c>
    </row>
    <row r="91" spans="1:12">
      <c r="A91" s="1">
        <v>90</v>
      </c>
      <c r="B91" s="1" t="s">
        <v>210</v>
      </c>
      <c r="C91" s="1" t="s">
        <v>25</v>
      </c>
      <c r="D91" s="1" t="s">
        <v>211</v>
      </c>
      <c r="E91" s="1">
        <v>1989</v>
      </c>
      <c r="F91" s="1">
        <v>2</v>
      </c>
      <c r="G91" s="1">
        <v>119</v>
      </c>
      <c r="H91" s="1">
        <v>24</v>
      </c>
      <c r="I91" s="1">
        <v>28</v>
      </c>
      <c r="J91" s="1">
        <v>16</v>
      </c>
      <c r="K91" s="1">
        <v>64</v>
      </c>
      <c r="L91">
        <f t="shared" si="2"/>
        <v>5524</v>
      </c>
    </row>
    <row r="92" spans="1:12">
      <c r="A92" s="1">
        <v>91</v>
      </c>
      <c r="B92" s="1" t="s">
        <v>212</v>
      </c>
      <c r="C92" s="1" t="s">
        <v>33</v>
      </c>
      <c r="D92" s="1" t="s">
        <v>213</v>
      </c>
      <c r="E92" s="1">
        <v>1952</v>
      </c>
      <c r="F92" s="1">
        <v>0</v>
      </c>
      <c r="G92" s="1">
        <v>229</v>
      </c>
      <c r="H92" s="1">
        <v>25</v>
      </c>
      <c r="I92" s="1">
        <v>17</v>
      </c>
      <c r="J92" s="1">
        <v>16</v>
      </c>
      <c r="K92" s="1">
        <v>46</v>
      </c>
      <c r="L92">
        <f t="shared" si="2"/>
        <v>5597</v>
      </c>
    </row>
    <row r="93" spans="1:12">
      <c r="A93" s="1">
        <v>92</v>
      </c>
      <c r="B93" s="1" t="s">
        <v>214</v>
      </c>
      <c r="C93" s="1" t="s">
        <v>33</v>
      </c>
      <c r="D93" s="1" t="s">
        <v>215</v>
      </c>
      <c r="E93" s="1">
        <v>1683</v>
      </c>
      <c r="F93" s="1">
        <v>1</v>
      </c>
      <c r="G93" s="1">
        <v>109</v>
      </c>
      <c r="H93" s="1">
        <v>11</v>
      </c>
      <c r="I93" s="1">
        <v>7</v>
      </c>
      <c r="J93" s="1">
        <v>7</v>
      </c>
      <c r="K93" s="1">
        <v>10</v>
      </c>
      <c r="L93">
        <f t="shared" si="2"/>
        <v>3128</v>
      </c>
    </row>
    <row r="94" spans="1:12">
      <c r="A94" s="1">
        <v>93</v>
      </c>
      <c r="B94" s="1" t="s">
        <v>216</v>
      </c>
      <c r="C94" s="1" t="s">
        <v>217</v>
      </c>
      <c r="D94" s="1" t="s">
        <v>218</v>
      </c>
      <c r="E94" s="1">
        <v>1610</v>
      </c>
      <c r="F94" s="1">
        <v>2</v>
      </c>
      <c r="G94" s="1">
        <v>191</v>
      </c>
      <c r="H94" s="1">
        <v>10</v>
      </c>
      <c r="I94" s="1">
        <v>32</v>
      </c>
      <c r="J94" s="1">
        <v>9</v>
      </c>
      <c r="K94" s="1">
        <v>31</v>
      </c>
      <c r="L94">
        <f t="shared" si="2"/>
        <v>4115</v>
      </c>
    </row>
    <row r="95" spans="1:12">
      <c r="A95" s="1">
        <v>94</v>
      </c>
      <c r="B95" s="1" t="s">
        <v>219</v>
      </c>
      <c r="C95" s="1" t="s">
        <v>25</v>
      </c>
      <c r="D95" s="1" t="s">
        <v>220</v>
      </c>
      <c r="E95" s="1">
        <v>1519</v>
      </c>
      <c r="F95" s="1">
        <v>16</v>
      </c>
      <c r="G95" s="1">
        <v>129</v>
      </c>
      <c r="H95" s="1">
        <v>13</v>
      </c>
      <c r="I95" s="1">
        <v>18</v>
      </c>
      <c r="J95" s="1">
        <v>6</v>
      </c>
      <c r="K95" s="1">
        <v>55</v>
      </c>
      <c r="L95">
        <f t="shared" si="2"/>
        <v>4314</v>
      </c>
    </row>
    <row r="96" spans="1:12">
      <c r="A96" s="1">
        <v>95</v>
      </c>
      <c r="B96" s="1" t="s">
        <v>221</v>
      </c>
      <c r="C96" s="1"/>
      <c r="D96" s="1" t="s">
        <v>222</v>
      </c>
      <c r="E96" s="1">
        <v>1495</v>
      </c>
      <c r="F96" s="1">
        <v>0</v>
      </c>
      <c r="G96" s="1">
        <v>106</v>
      </c>
      <c r="H96" s="1">
        <v>10</v>
      </c>
      <c r="I96" s="1">
        <v>17</v>
      </c>
      <c r="J96" s="1">
        <v>3</v>
      </c>
      <c r="K96" s="1">
        <v>13</v>
      </c>
      <c r="L96">
        <f t="shared" si="2"/>
        <v>2985</v>
      </c>
    </row>
    <row r="97" spans="1:12">
      <c r="A97" s="1">
        <v>96</v>
      </c>
      <c r="B97" s="1" t="s">
        <v>223</v>
      </c>
      <c r="C97" s="1" t="s">
        <v>25</v>
      </c>
      <c r="D97" s="1" t="s">
        <v>224</v>
      </c>
      <c r="E97" s="1">
        <v>1408</v>
      </c>
      <c r="F97" s="1">
        <v>1</v>
      </c>
      <c r="G97" s="1">
        <v>88</v>
      </c>
      <c r="H97" s="1">
        <v>12</v>
      </c>
      <c r="I97" s="1">
        <v>14</v>
      </c>
      <c r="J97" s="1">
        <v>11</v>
      </c>
      <c r="K97" s="1">
        <v>49</v>
      </c>
      <c r="L97">
        <f t="shared" si="2"/>
        <v>3688</v>
      </c>
    </row>
    <row r="98" spans="1:12">
      <c r="A98" s="1">
        <v>97</v>
      </c>
      <c r="B98" s="1" t="s">
        <v>225</v>
      </c>
      <c r="C98" s="1" t="s">
        <v>25</v>
      </c>
      <c r="D98" s="1" t="s">
        <v>226</v>
      </c>
      <c r="E98" s="1">
        <v>351</v>
      </c>
      <c r="F98" s="1">
        <v>0</v>
      </c>
      <c r="G98" s="1">
        <v>55</v>
      </c>
      <c r="H98" s="1">
        <v>7</v>
      </c>
      <c r="I98" s="1">
        <v>8</v>
      </c>
      <c r="J98" s="1">
        <v>1</v>
      </c>
      <c r="K98" s="1">
        <v>24</v>
      </c>
      <c r="L98">
        <f t="shared" si="2"/>
        <v>1546</v>
      </c>
    </row>
  </sheetData>
  <autoFilter ref="A1:K98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Oathyzy</dc:creator>
  <cp:lastModifiedBy>latesoon</cp:lastModifiedBy>
  <dcterms:created xsi:type="dcterms:W3CDTF">2023-05-12T11:15:00Z</dcterms:created>
  <dcterms:modified xsi:type="dcterms:W3CDTF">2023-10-17T16:24:57Z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